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4" autoFilterDateGrouping="1"/>
  </bookViews>
  <sheets>
    <sheet xmlns:r="http://schemas.openxmlformats.org/officeDocument/2006/relationships" name="Escenarios" sheetId="1" state="visible" r:id="rId1"/>
    <sheet xmlns:r="http://schemas.openxmlformats.org/officeDocument/2006/relationships" name="Pretest" sheetId="2" state="visible" r:id="rId2"/>
    <sheet xmlns:r="http://schemas.openxmlformats.org/officeDocument/2006/relationships" name="Postest" sheetId="3" state="visible" r:id="rId3"/>
    <sheet xmlns:r="http://schemas.openxmlformats.org/officeDocument/2006/relationships" name="Auditorias_Stock" sheetId="4" state="visible" r:id="rId4"/>
    <sheet xmlns:r="http://schemas.openxmlformats.org/officeDocument/2006/relationships" name="Resultados_Tabla_5_1"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name val="Calibri"/>
      <b val="1"/>
      <color rgb="FFFFFFFF"/>
      <sz val="11"/>
    </font>
    <font>
      <name val="Calibri"/>
      <b val="1"/>
      <color rgb="FFFFFFFF"/>
      <sz val="11"/>
    </font>
    <font>
      <name val="Calibri"/>
      <b val="1"/>
      <color rgb="FFFFFFFF"/>
      <sz val="11"/>
    </font>
  </fonts>
  <fills count="5">
    <fill>
      <patternFill/>
    </fill>
    <fill>
      <patternFill patternType="gray125"/>
    </fill>
    <fill>
      <patternFill patternType="solid">
        <fgColor rgb="FF2B3A55"/>
      </patternFill>
    </fill>
    <fill>
      <patternFill patternType="solid">
        <fgColor rgb="FF2B3A55"/>
      </patternFill>
    </fill>
    <fill>
      <patternFill patternType="solid">
        <fgColor rgb="FF2B3A55"/>
      </patternFill>
    </fill>
  </fills>
  <borders count="12">
    <border>
      <left/>
      <right/>
      <top/>
      <bottom/>
      <diagonal/>
    </border>
    <border>
      <left style="thin">
        <color rgb="FFAAAAAA"/>
      </left>
      <right style="thin">
        <color rgb="FFAAAAAA"/>
      </right>
      <top style="thin">
        <color rgb="FFAAAAAA"/>
      </top>
      <bottom style="thin">
        <color rgb="FFAAAAAA"/>
      </bottom>
      <diagonal/>
    </border>
    <border>
      <left style="thin">
        <color rgb="FFAAAAAA"/>
      </left>
      <right style="thin">
        <color rgb="FFAAAAAA"/>
      </right>
      <top style="thin">
        <color rgb="FFAAAAAA"/>
      </top>
      <bottom style="thin">
        <color rgb="FFAAAAAA"/>
      </bottom>
      <diagonal/>
    </border>
    <border>
      <left style="thin">
        <color rgb="FFAAAAAA"/>
      </left>
      <right style="thin">
        <color rgb="FFAAAAAA"/>
      </right>
      <top style="thin">
        <color rgb="FFAAAAAA"/>
      </top>
      <bottom style="thin">
        <color rgb="FFAAAAAA"/>
      </bottom>
      <diagonal/>
    </border>
    <border>
      <left/>
      <right/>
      <top style="thin">
        <color rgb="FFAAAAAA"/>
      </top>
      <bottom/>
      <diagonal/>
    </border>
    <border>
      <left style="thin">
        <color rgb="FFAAAAAA"/>
      </left>
      <right/>
      <top/>
      <bottom/>
      <diagonal/>
    </border>
    <border>
      <left/>
      <right style="thin">
        <color rgb="FFAAAAAA"/>
      </right>
      <top style="thin">
        <color rgb="FFAAAAAA"/>
      </top>
      <bottom/>
      <diagonal/>
    </border>
    <border>
      <left/>
      <right style="thin">
        <color rgb="FFAAAAAA"/>
      </right>
      <top/>
      <bottom/>
      <diagonal/>
    </border>
    <border>
      <left style="thin">
        <color rgb="FFAAAAAA"/>
      </left>
      <right/>
      <top/>
      <bottom style="thin">
        <color rgb="FFAAAAAA"/>
      </bottom>
      <diagonal/>
    </border>
    <border>
      <left/>
      <right/>
      <top/>
      <bottom style="thin">
        <color rgb="FFAAAAAA"/>
      </bottom>
      <diagonal/>
    </border>
    <border>
      <left/>
      <right style="thin">
        <color rgb="FFAAAAAA"/>
      </right>
      <top/>
      <bottom style="thin">
        <color rgb="FFAAAAAA"/>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2" fontId="0" fillId="0" borderId="1" applyAlignment="1" pivotButton="0" quotePrefix="0" xfId="0">
      <alignment vertical="top" wrapText="1"/>
    </xf>
    <xf numFmtId="164" fontId="0" fillId="0" borderId="1" applyAlignment="1" pivotButton="0" quotePrefix="0" xfId="0">
      <alignment vertical="top" wrapText="1"/>
    </xf>
    <xf numFmtId="0" fontId="2" fillId="3" borderId="2" applyAlignment="1" pivotButton="0" quotePrefix="0" xfId="0">
      <alignment horizontal="center" vertical="center" wrapText="1"/>
    </xf>
    <xf numFmtId="0" fontId="0" fillId="0" borderId="2" applyAlignment="1" pivotButton="0" quotePrefix="0" xfId="0">
      <alignment vertical="top" wrapText="1"/>
    </xf>
    <xf numFmtId="0" fontId="0" fillId="0" borderId="0" applyAlignment="1" pivotButton="0" quotePrefix="0" xfId="0">
      <alignment vertical="top" wrapText="1"/>
    </xf>
    <xf numFmtId="0" fontId="0" fillId="0" borderId="3" applyAlignment="1" pivotButton="0" quotePrefix="0" xfId="0">
      <alignment vertical="top" wrapText="1"/>
    </xf>
    <xf numFmtId="21" fontId="0" fillId="0" borderId="3" applyAlignment="1" pivotButton="0" quotePrefix="0" xfId="0">
      <alignment vertical="top" wrapText="1"/>
    </xf>
    <xf numFmtId="21" fontId="0" fillId="0" borderId="0" pivotButton="0" quotePrefix="0" xfId="0"/>
    <xf numFmtId="0" fontId="3" fillId="4" borderId="11" applyAlignment="1" pivotButton="0" quotePrefix="0" xfId="0">
      <alignment horizontal="center" vertical="center" wrapText="1"/>
    </xf>
    <xf numFmtId="0" fontId="0" fillId="0" borderId="11" applyAlignment="1" pivotButton="0" quotePrefix="0" xfId="0">
      <alignment vertical="top" wrapText="1"/>
    </xf>
    <xf numFmtId="0" fontId="0" fillId="0" borderId="3" applyAlignment="1" pivotButton="0" quotePrefix="0" xfId="0">
      <alignment vertical="top" wrapText="1"/>
    </xf>
    <xf numFmtId="0" fontId="0" fillId="0" borderId="4" pivotButton="0" quotePrefix="0" xfId="0"/>
    <xf numFmtId="0" fontId="0" fillId="0" borderId="6" pivotButton="0" quotePrefix="0" xfId="0"/>
    <xf numFmtId="0" fontId="0" fillId="0" borderId="5" pivotButton="0" quotePrefix="0" xfId="0"/>
    <xf numFmtId="0" fontId="0" fillId="0" borderId="0"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0" applyAlignment="1" pivotButton="0" quotePrefix="0" xfId="0">
      <alignment vertical="top" wrapText="1"/>
    </xf>
    <xf numFmtId="21" fontId="0" fillId="0" borderId="1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E32" sqref="E32"/>
    </sheetView>
  </sheetViews>
  <sheetFormatPr baseColWidth="10" defaultColWidth="8.88671875" defaultRowHeight="14.4"/>
  <cols>
    <col width="6" customWidth="1" style="17" min="1" max="1"/>
    <col width="22" customWidth="1" style="17" min="2" max="2"/>
    <col width="42" customWidth="1" style="17" min="3" max="3"/>
    <col width="12" customWidth="1" style="17" min="4" max="4"/>
    <col width="30" customWidth="1" style="17" min="5" max="5"/>
    <col width="16" customWidth="1" style="17" min="6" max="6"/>
    <col width="28" customWidth="1" style="17" min="7" max="7"/>
    <col width="26" customWidth="1" style="17" min="8" max="8"/>
  </cols>
  <sheetData>
    <row r="1" ht="28.8" customHeight="1" s="17">
      <c r="A1" s="5" t="inlineStr">
        <is>
          <t>ID</t>
        </is>
      </c>
      <c r="B1" s="5" t="inlineStr">
        <is>
          <t>Tipo de escenario</t>
        </is>
      </c>
      <c r="C1" s="5" t="inlineStr">
        <is>
          <t>Descripción del pedido</t>
        </is>
      </c>
      <c r="D1" s="5" t="inlineStr">
        <is>
          <t>N° de productos</t>
        </is>
      </c>
      <c r="E1" s="5" t="inlineStr">
        <is>
          <t>Cantidad solicitada</t>
        </is>
      </c>
      <c r="F1" s="5" t="inlineStr">
        <is>
          <t>Cliente</t>
        </is>
      </c>
      <c r="G1" s="5" t="inlineStr">
        <is>
          <t>Stock de referencia (antes del pedido)</t>
        </is>
      </c>
      <c r="H1" s="5" t="inlineStr">
        <is>
          <t>Caso de error simulado</t>
        </is>
      </c>
    </row>
    <row r="2">
      <c r="A2" s="13" t="n">
        <v>1</v>
      </c>
      <c r="B2" s="13" t="inlineStr">
        <is>
          <t>Simple - 1 producto</t>
        </is>
      </c>
      <c r="C2" s="13" t="inlineStr">
        <is>
          <t>Coca-Cola Regular</t>
        </is>
      </c>
      <c r="D2" s="13" t="n">
        <v>1</v>
      </c>
      <c r="E2" s="13" t="n">
        <v>1</v>
      </c>
      <c r="F2" s="13" t="inlineStr">
        <is>
          <t>Recurrente</t>
        </is>
      </c>
      <c r="G2" s="13" t="n">
        <v>20</v>
      </c>
      <c r="H2" s="13" t="n"/>
    </row>
    <row r="3">
      <c r="A3" s="13" t="n">
        <v>2</v>
      </c>
      <c r="B3" s="13" t="inlineStr">
        <is>
          <t>Simple - 1 producto</t>
        </is>
      </c>
      <c r="C3" s="13" t="inlineStr">
        <is>
          <t>Marlboro Box</t>
        </is>
      </c>
      <c r="D3" s="13" t="n">
        <v>1</v>
      </c>
      <c r="E3" s="13" t="n">
        <v>1</v>
      </c>
      <c r="F3" s="13" t="inlineStr">
        <is>
          <t>Recurrente</t>
        </is>
      </c>
      <c r="G3" s="13" t="n">
        <v>30</v>
      </c>
      <c r="H3" s="13" t="n"/>
    </row>
    <row r="4">
      <c r="A4" s="13" t="n">
        <v>3</v>
      </c>
      <c r="B4" s="13" t="inlineStr">
        <is>
          <t>Simple - 1 producto</t>
        </is>
      </c>
      <c r="C4" s="13" t="inlineStr">
        <is>
          <t>Chocolate Aireado Milka</t>
        </is>
      </c>
      <c r="D4" s="13" t="n">
        <v>1</v>
      </c>
      <c r="E4" s="13" t="n">
        <v>1</v>
      </c>
      <c r="F4" s="13" t="inlineStr">
        <is>
          <t>Recurrente</t>
        </is>
      </c>
      <c r="G4" s="13" t="n">
        <v>22</v>
      </c>
      <c r="H4" s="13" t="n"/>
    </row>
    <row r="5">
      <c r="A5" s="13" t="n">
        <v>4</v>
      </c>
      <c r="B5" s="13" t="inlineStr">
        <is>
          <t>Simple - 1 producto</t>
        </is>
      </c>
      <c r="C5" s="13" t="inlineStr">
        <is>
          <t>Jabón Dove</t>
        </is>
      </c>
      <c r="D5" s="13" t="n">
        <v>1</v>
      </c>
      <c r="E5" s="13" t="n">
        <v>1</v>
      </c>
      <c r="F5" s="13" t="inlineStr">
        <is>
          <t>Recurrente</t>
        </is>
      </c>
      <c r="G5" s="13" t="n">
        <v>13</v>
      </c>
      <c r="H5" s="13" t="n"/>
    </row>
    <row r="6">
      <c r="A6" s="13" t="n">
        <v>5</v>
      </c>
      <c r="B6" s="13" t="inlineStr">
        <is>
          <t>Simple - 1 producto</t>
        </is>
      </c>
      <c r="C6" s="13" t="inlineStr">
        <is>
          <t>Doritos 250gr</t>
        </is>
      </c>
      <c r="D6" s="13" t="n">
        <v>1</v>
      </c>
      <c r="E6" s="13" t="n">
        <v>1</v>
      </c>
      <c r="F6" s="13" t="inlineStr">
        <is>
          <t>Recurrente</t>
        </is>
      </c>
      <c r="G6" s="13" t="n">
        <v>34</v>
      </c>
      <c r="H6" s="13" t="n"/>
    </row>
    <row r="7">
      <c r="A7" s="13" t="n">
        <v>6</v>
      </c>
      <c r="B7" s="13" t="inlineStr">
        <is>
          <t>Simple - 1 producto</t>
        </is>
      </c>
      <c r="C7" s="13" t="inlineStr">
        <is>
          <t>Coca-Cola Zero</t>
        </is>
      </c>
      <c r="D7" s="13" t="n">
        <v>1</v>
      </c>
      <c r="E7" s="13" t="n">
        <v>1</v>
      </c>
      <c r="F7" s="13" t="inlineStr">
        <is>
          <t>Recurrente</t>
        </is>
      </c>
      <c r="G7" s="13" t="n">
        <v>54</v>
      </c>
      <c r="H7" s="13" t="n"/>
    </row>
    <row r="8">
      <c r="A8" s="13" t="n">
        <v>7</v>
      </c>
      <c r="B8" s="13" t="inlineStr">
        <is>
          <t>Simple - 1 producto</t>
        </is>
      </c>
      <c r="C8" s="13" t="inlineStr">
        <is>
          <t>Phillips-Morris Convertible</t>
        </is>
      </c>
      <c r="D8" s="13" t="n">
        <v>1</v>
      </c>
      <c r="E8" s="13" t="n">
        <v>1</v>
      </c>
      <c r="F8" s="13" t="inlineStr">
        <is>
          <t>Recurrente</t>
        </is>
      </c>
      <c r="G8" s="13" t="n">
        <v>23</v>
      </c>
      <c r="H8" s="13" t="n"/>
    </row>
    <row r="9">
      <c r="A9" s="13" t="n">
        <v>8</v>
      </c>
      <c r="B9" s="13" t="inlineStr">
        <is>
          <t>Simple - 1 producto</t>
        </is>
      </c>
      <c r="C9" s="13" t="inlineStr">
        <is>
          <t>Bombón Bon o Bon</t>
        </is>
      </c>
      <c r="D9" s="13" t="n">
        <v>1</v>
      </c>
      <c r="E9" s="13" t="n">
        <v>1</v>
      </c>
      <c r="F9" s="13" t="inlineStr">
        <is>
          <t>Recurrente</t>
        </is>
      </c>
      <c r="G9" s="13" t="n">
        <v>45</v>
      </c>
      <c r="H9" s="13" t="n"/>
    </row>
    <row r="10">
      <c r="A10" s="13" t="n">
        <v>9</v>
      </c>
      <c r="B10" s="13" t="inlineStr">
        <is>
          <t>Simple - 1 producto</t>
        </is>
      </c>
      <c r="C10" s="13" t="inlineStr">
        <is>
          <t>Pasta de dientes Colgate</t>
        </is>
      </c>
      <c r="D10" s="13" t="n">
        <v>1</v>
      </c>
      <c r="E10" s="13" t="n">
        <v>1</v>
      </c>
      <c r="F10" s="13" t="inlineStr">
        <is>
          <t>Nuevo</t>
        </is>
      </c>
      <c r="G10" s="13" t="n">
        <v>47</v>
      </c>
      <c r="H10" s="13" t="n"/>
    </row>
    <row r="11">
      <c r="A11" s="13" t="n">
        <v>10</v>
      </c>
      <c r="B11" s="13" t="inlineStr">
        <is>
          <t>Simple - 1 producto</t>
        </is>
      </c>
      <c r="C11" s="13" t="inlineStr">
        <is>
          <t>Pepsi Regular</t>
        </is>
      </c>
      <c r="D11" s="13" t="n">
        <v>1</v>
      </c>
      <c r="E11" s="13" t="n">
        <v>1</v>
      </c>
      <c r="F11" s="13" t="inlineStr">
        <is>
          <t>Nuevo</t>
        </is>
      </c>
      <c r="G11" s="13" t="n">
        <v>12</v>
      </c>
      <c r="H11" s="13" t="n"/>
    </row>
    <row r="12">
      <c r="A12" s="13" t="n">
        <v>11</v>
      </c>
      <c r="B12" s="13" t="inlineStr">
        <is>
          <t>Simple - 1 producto</t>
        </is>
      </c>
      <c r="C12" s="13" t="inlineStr">
        <is>
          <t>Sprite Regular</t>
        </is>
      </c>
      <c r="D12" s="13" t="n">
        <v>1</v>
      </c>
      <c r="E12" s="13" t="n">
        <v>1</v>
      </c>
      <c r="F12" s="13" t="inlineStr">
        <is>
          <t>Nuevo</t>
        </is>
      </c>
      <c r="G12" s="13" t="n">
        <v>33</v>
      </c>
      <c r="H12" s="13" t="n"/>
    </row>
    <row r="13">
      <c r="A13" s="13" t="n">
        <v>12</v>
      </c>
      <c r="B13" s="13" t="inlineStr">
        <is>
          <t>Simple - 1 producto</t>
        </is>
      </c>
      <c r="C13" s="13" t="inlineStr">
        <is>
          <t>Gomitas Mogul</t>
        </is>
      </c>
      <c r="D13" s="13" t="n">
        <v>1</v>
      </c>
      <c r="E13" s="13" t="n">
        <v>1</v>
      </c>
      <c r="F13" s="13" t="inlineStr">
        <is>
          <t>Nuevo</t>
        </is>
      </c>
      <c r="G13" s="13" t="n">
        <v>9</v>
      </c>
      <c r="H13" s="13" t="n"/>
    </row>
    <row r="14">
      <c r="A14" s="13" t="n">
        <v>13</v>
      </c>
      <c r="B14" s="13" t="inlineStr">
        <is>
          <t>Simple - 1 producto</t>
        </is>
      </c>
      <c r="C14" s="13" t="inlineStr">
        <is>
          <t>Cerveza Quilmes</t>
        </is>
      </c>
      <c r="D14" s="13" t="n">
        <v>1</v>
      </c>
      <c r="E14" s="13" t="n">
        <v>1</v>
      </c>
      <c r="F14" s="13" t="inlineStr">
        <is>
          <t>Nuevo</t>
        </is>
      </c>
      <c r="G14" s="13" t="n">
        <v>21</v>
      </c>
      <c r="H14" s="13" t="n"/>
    </row>
    <row r="15" ht="28.8" customHeight="1" s="17">
      <c r="A15" s="13" t="n">
        <v>14</v>
      </c>
      <c r="B15" s="13" t="inlineStr">
        <is>
          <t>Múltiple - 2 a 3 productos</t>
        </is>
      </c>
      <c r="C15" s="13" t="inlineStr">
        <is>
          <t>Coca-Cola Regular - Fernet Branca - Doritos 250gr</t>
        </is>
      </c>
      <c r="D15" s="13" t="inlineStr">
        <is>
          <t>2-3</t>
        </is>
      </c>
      <c r="E15" s="13" t="inlineStr">
        <is>
          <t>1 de cada producto listado</t>
        </is>
      </c>
      <c r="F15" s="13" t="inlineStr">
        <is>
          <t>Recurrente</t>
        </is>
      </c>
      <c r="G15" s="13" t="inlineStr">
        <is>
          <t>19, 3 y 33</t>
        </is>
      </c>
      <c r="H15" s="13" t="n"/>
    </row>
    <row r="16" ht="28.8" customHeight="1" s="17">
      <c r="A16" s="13" t="n">
        <v>15</v>
      </c>
      <c r="B16" s="13" t="inlineStr">
        <is>
          <t>Múltiple - 2 a 3 productos</t>
        </is>
      </c>
      <c r="C16" s="13" t="inlineStr">
        <is>
          <t>Chocolate Aireado Milka - Pasta de dientes Colgate</t>
        </is>
      </c>
      <c r="D16" s="13" t="inlineStr">
        <is>
          <t>2-3</t>
        </is>
      </c>
      <c r="E16" s="13" t="inlineStr">
        <is>
          <t>1 de cada producto listado</t>
        </is>
      </c>
      <c r="F16" s="13" t="inlineStr">
        <is>
          <t>Nuevo</t>
        </is>
      </c>
      <c r="G16" s="13" t="inlineStr">
        <is>
          <t>21 y 46</t>
        </is>
      </c>
      <c r="H16" s="13" t="n"/>
    </row>
    <row r="17">
      <c r="A17" s="13" t="n">
        <v>16</v>
      </c>
      <c r="B17" s="13" t="inlineStr">
        <is>
          <t>Múltiple - 2 a 3 productos</t>
        </is>
      </c>
      <c r="C17" s="13" t="inlineStr">
        <is>
          <t>Gomitas Mogul - Leche descremada LS</t>
        </is>
      </c>
      <c r="D17" s="13" t="inlineStr">
        <is>
          <t>2-3</t>
        </is>
      </c>
      <c r="E17" s="13" t="inlineStr">
        <is>
          <t>1 de cada producto listado</t>
        </is>
      </c>
      <c r="F17" s="13" t="inlineStr">
        <is>
          <t>Recurrente</t>
        </is>
      </c>
      <c r="G17" s="13" t="inlineStr">
        <is>
          <t>8 y 28</t>
        </is>
      </c>
      <c r="H17" s="13" t="n"/>
    </row>
    <row r="18">
      <c r="A18" s="13" t="n">
        <v>17</v>
      </c>
      <c r="B18" s="13" t="inlineStr">
        <is>
          <t>Error - stock insuficiente</t>
        </is>
      </c>
      <c r="C18" s="13" t="inlineStr">
        <is>
          <t>Queso crema La Serenísima</t>
        </is>
      </c>
      <c r="D18" s="13" t="n">
        <v>1</v>
      </c>
      <c r="E18" s="13" t="n">
        <v>3</v>
      </c>
      <c r="F18" s="13" t="inlineStr">
        <is>
          <t>Nuevo</t>
        </is>
      </c>
      <c r="G18" s="13" t="n">
        <v>1</v>
      </c>
      <c r="H18" s="13" t="inlineStr">
        <is>
          <t>Stock insuficiente</t>
        </is>
      </c>
    </row>
    <row r="19">
      <c r="A19" s="13" t="n">
        <v>18</v>
      </c>
      <c r="B19" s="13" t="inlineStr">
        <is>
          <t>Error - stock insuficiente</t>
        </is>
      </c>
      <c r="C19" s="13" t="inlineStr">
        <is>
          <t>Manteca La Serenísima</t>
        </is>
      </c>
      <c r="D19" s="13" t="n">
        <v>1</v>
      </c>
      <c r="E19" s="13" t="n">
        <v>2</v>
      </c>
      <c r="F19" s="13" t="inlineStr">
        <is>
          <t>Recurrente</t>
        </is>
      </c>
      <c r="G19" s="13" t="n">
        <v>0</v>
      </c>
      <c r="H19" s="13" t="inlineStr">
        <is>
          <t>Stock insuficiente</t>
        </is>
      </c>
    </row>
    <row r="20">
      <c r="A20" s="13" t="n">
        <v>19</v>
      </c>
      <c r="B20" s="13" t="inlineStr">
        <is>
          <t>Error - stock insuficiente</t>
        </is>
      </c>
      <c r="C20" s="13" t="inlineStr">
        <is>
          <t>Sprite Regular</t>
        </is>
      </c>
      <c r="D20" s="13" t="n">
        <v>1</v>
      </c>
      <c r="E20" s="13" t="n">
        <v>4</v>
      </c>
      <c r="F20" s="13" t="inlineStr">
        <is>
          <t>Nuevo</t>
        </is>
      </c>
      <c r="G20" s="13" t="n">
        <v>2</v>
      </c>
      <c r="H20" s="13" t="inlineStr">
        <is>
          <t>Stock insuficiente</t>
        </is>
      </c>
    </row>
    <row r="21" ht="115.2" customHeight="1" s="17">
      <c r="A21" s="13" t="n">
        <v>20</v>
      </c>
      <c r="B21" s="13" t="inlineStr">
        <is>
          <t>Límite - cantidad máxima</t>
        </is>
      </c>
      <c r="C21" s="13" t="inlineStr">
        <is>
          <t>Doritos 250gr (cantidad máxima permitida por los botones de Telegram)</t>
        </is>
      </c>
      <c r="D21" s="13" t="n">
        <v>1</v>
      </c>
      <c r="E21" s="13" t="n">
        <v>10</v>
      </c>
      <c r="F21" s="13" t="inlineStr">
        <is>
          <t>Nuevo</t>
        </is>
      </c>
      <c r="G21" s="13" t="n">
        <v>34</v>
      </c>
      <c r="H21" s="13" t="inlineStr">
        <is>
          <t>Límite superior de cantidad: no hay validación de máximo del lado del servidor, solo lo impone la construcción de los botones (1 a 10). No debería producir error; sirve para verificar que el pedido en el límite se procese con éxito.</t>
        </is>
      </c>
    </row>
    <row r="22">
      <c r="A22" s="6" t="n"/>
      <c r="B22" s="6" t="n"/>
      <c r="C22" s="6" t="n"/>
      <c r="D22" s="6" t="n"/>
      <c r="E22" s="6" t="n"/>
      <c r="F22" s="6" t="n"/>
      <c r="G22" s="6" t="n"/>
      <c r="H22" s="6" t="n"/>
    </row>
    <row r="23">
      <c r="A23" s="12" t="inlineStr">
        <is>
          <t>Nota: se redujo el diseño de 30 a 20 escenarios (n=20 por condición) por restricciones de tiempo del equipo. Con n=20 se pierde algo de potencia estadística respecto de n≥30, pero sigue siendo adecuado para detectar los efectos grandes que predice H1 (reducciones del 50% y 60%). Verificar normalidad de las diferencias con Shapiro-Wilk antes de decidir entre la prueba t pareada y su alternativa no paramétrica (Wilcoxon), tal como indica la sección 3.4 del informe. Estos 20 escenarios deben mantenerse IDÉNTICOS entre la corrida pretest y la corrida postest. Para los escenarios de stock insuficiente (filas 18-20), la cantidad solicitada ya está fijada por encima del stock de referencia cargado. El escenario de 'carrito vacío' se descartó del análisis cuantitativo (no tiene equivalente en la modalidad manual); si quieren probarlo igual, háganlo una vez sin cronometrar y anoten el resultado como hallazgo cualitativo en la sección 6.2 del informe.</t>
        </is>
      </c>
      <c r="B23" s="14" t="n"/>
      <c r="C23" s="14" t="n"/>
      <c r="D23" s="14" t="n"/>
      <c r="E23" s="14" t="n"/>
      <c r="F23" s="14" t="n"/>
      <c r="G23" s="14" t="n"/>
      <c r="H23" s="15" t="n"/>
    </row>
    <row r="24">
      <c r="A24" s="16" t="n"/>
      <c r="H24" s="18" t="n"/>
    </row>
    <row r="25">
      <c r="A25" s="16" t="n"/>
      <c r="H25" s="18" t="n"/>
    </row>
    <row r="26">
      <c r="A26" s="16" t="n"/>
      <c r="H26" s="18" t="n"/>
    </row>
    <row r="27">
      <c r="A27" s="19" t="n"/>
      <c r="B27" s="20" t="n"/>
      <c r="C27" s="20" t="n"/>
      <c r="D27" s="20" t="n"/>
      <c r="E27" s="20" t="n"/>
      <c r="F27" s="20" t="n"/>
      <c r="G27" s="20" t="n"/>
      <c r="H27" s="21" t="n"/>
    </row>
    <row r="28">
      <c r="A28" s="6" t="n"/>
      <c r="B28" s="6" t="n"/>
      <c r="C28" s="6" t="n"/>
      <c r="D28" s="6" t="n"/>
      <c r="E28" s="6" t="n"/>
      <c r="F28" s="6" t="n"/>
      <c r="G28" s="6" t="n"/>
      <c r="H28" s="6" t="n"/>
    </row>
    <row r="29">
      <c r="A29" s="6" t="n"/>
      <c r="B29" s="6" t="n"/>
      <c r="C29" s="6" t="n"/>
      <c r="D29" s="6" t="n"/>
      <c r="E29" s="6" t="n"/>
      <c r="F29" s="6" t="n"/>
      <c r="G29" s="6" t="n"/>
      <c r="H29" s="6" t="n"/>
    </row>
    <row r="30">
      <c r="A30" s="13" t="n"/>
      <c r="B30" s="13" t="n"/>
      <c r="C30" s="13" t="n"/>
      <c r="D30" s="13" t="n"/>
      <c r="E30" s="13" t="n"/>
      <c r="F30" s="13" t="n"/>
      <c r="G30" s="13" t="n"/>
      <c r="H30" s="13" t="n"/>
    </row>
    <row r="31">
      <c r="A31" s="13" t="n"/>
      <c r="B31" s="13" t="n"/>
      <c r="C31" s="13" t="n"/>
      <c r="D31" s="13" t="n"/>
      <c r="E31" s="13" t="n"/>
      <c r="F31" s="13" t="n"/>
      <c r="G31" s="13" t="n"/>
      <c r="H31" s="13" t="n"/>
    </row>
    <row r="33">
      <c r="A33" s="22" t="n"/>
    </row>
  </sheetData>
  <mergeCells count="1">
    <mergeCell ref="A23:H2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F18" sqref="F18:F20"/>
    </sheetView>
  </sheetViews>
  <sheetFormatPr baseColWidth="10" defaultColWidth="8.88671875" defaultRowHeight="14.4"/>
  <cols>
    <col width="10" customWidth="1" style="17" min="1" max="1"/>
    <col width="26" customWidth="1" style="17" min="2" max="3"/>
    <col width="14" customWidth="1" style="17" min="4" max="4"/>
    <col width="20" customWidth="1" style="17" min="5" max="5"/>
    <col width="22" customWidth="1" style="17" min="6" max="6"/>
    <col width="30" customWidth="1" style="17" min="7" max="7"/>
  </cols>
  <sheetData>
    <row r="1" ht="28.8" customHeight="1" s="17">
      <c r="A1" s="1" t="inlineStr">
        <is>
          <t>ID escenario</t>
        </is>
      </c>
      <c r="B1" s="1" t="inlineStr">
        <is>
          <t>Hora inicio (recepción del pedido)</t>
        </is>
      </c>
      <c r="C1" s="1" t="inlineStr">
        <is>
          <t>Hora fin (registro confirmado)</t>
        </is>
      </c>
      <c r="D1" s="1" t="inlineStr">
        <is>
          <t>TPP (segundos)</t>
        </is>
      </c>
      <c r="E1" s="1" t="inlineStr">
        <is>
          <t>¿Hubo error de carga? (Sí/No)</t>
        </is>
      </c>
      <c r="F1" s="1" t="inlineStr">
        <is>
          <t>Tipo de error</t>
        </is>
      </c>
      <c r="G1" s="1" t="inlineStr">
        <is>
          <t>Observaciones</t>
        </is>
      </c>
    </row>
    <row r="2">
      <c r="A2" s="13" t="n">
        <v>1</v>
      </c>
      <c r="B2" s="9" t="n">
        <v>0.3854166666666667</v>
      </c>
      <c r="C2" s="9" t="n">
        <v>0.3862847222222222</v>
      </c>
      <c r="D2" s="13">
        <f>IF(AND(B2&lt;&gt;"",C2&lt;&gt;""),(C2-B2)*86400,"")</f>
        <v/>
      </c>
      <c r="E2" s="13" t="inlineStr">
        <is>
          <t>No</t>
        </is>
      </c>
      <c r="F2" s="13" t="n"/>
      <c r="G2" s="13" t="n"/>
    </row>
    <row r="3">
      <c r="A3" s="13" t="n">
        <v>2</v>
      </c>
      <c r="B3" s="9" t="n">
        <v>0.3881944444444445</v>
      </c>
      <c r="C3" s="9" t="n">
        <v>0.3892361111111111</v>
      </c>
      <c r="D3" s="13">
        <f>IF(AND(B3&lt;&gt;"",C3&lt;&gt;""),(C3-B3)*86400,"")</f>
        <v/>
      </c>
      <c r="E3" s="13" t="inlineStr">
        <is>
          <t>No</t>
        </is>
      </c>
      <c r="F3" s="13" t="n"/>
      <c r="G3" s="13" t="n"/>
    </row>
    <row r="4">
      <c r="A4" s="13" t="n">
        <v>3</v>
      </c>
      <c r="B4" s="10" t="n">
        <v>0.3909722222222222</v>
      </c>
      <c r="C4" s="10" t="n">
        <v>0.3923611111111111</v>
      </c>
      <c r="D4" s="13">
        <f>IF(AND(B4&lt;&gt;"",C4&lt;&gt;""),(C4-B4)*86400,"")</f>
        <v/>
      </c>
      <c r="E4" s="13" t="inlineStr">
        <is>
          <t>No</t>
        </is>
      </c>
      <c r="F4" s="13" t="n"/>
      <c r="G4" s="13" t="n"/>
    </row>
    <row r="5">
      <c r="A5" s="13" t="n">
        <v>4</v>
      </c>
      <c r="B5" s="10" t="n">
        <v>0.3951388888888889</v>
      </c>
      <c r="C5" s="10" t="n">
        <v>0.3963541666666667</v>
      </c>
      <c r="D5" s="13">
        <f>IF(AND(B5&lt;&gt;"",C5&lt;&gt;""),(C5-B5)*86400,"")</f>
        <v/>
      </c>
      <c r="E5" s="13" t="inlineStr">
        <is>
          <t>No</t>
        </is>
      </c>
      <c r="F5" s="13" t="n"/>
      <c r="G5" s="13" t="n"/>
    </row>
    <row r="6">
      <c r="A6" s="13" t="n">
        <v>5</v>
      </c>
      <c r="B6" s="10" t="n">
        <v>0.4006944444444445</v>
      </c>
      <c r="C6" s="10" t="n">
        <v>0.4019675925925926</v>
      </c>
      <c r="D6" s="13">
        <f>IF(AND(B6&lt;&gt;"",C6&lt;&gt;""),(C6-B6)*86400,"")</f>
        <v/>
      </c>
      <c r="E6" s="13" t="inlineStr">
        <is>
          <t>No</t>
        </is>
      </c>
      <c r="F6" s="13" t="n"/>
      <c r="G6" s="13" t="n"/>
    </row>
    <row r="7">
      <c r="A7" s="13" t="n">
        <v>6</v>
      </c>
      <c r="B7" s="10" t="n">
        <v>0.4055555555555556</v>
      </c>
      <c r="C7" s="10" t="n">
        <v>0.4065972222222222</v>
      </c>
      <c r="D7" s="13">
        <f>IF(AND(B7&lt;&gt;"",C7&lt;&gt;""),(C7-B7)*86400,"")</f>
        <v/>
      </c>
      <c r="E7" s="13" t="inlineStr">
        <is>
          <t>No</t>
        </is>
      </c>
      <c r="F7" s="13" t="n"/>
      <c r="G7" s="13" t="n"/>
    </row>
    <row r="8">
      <c r="A8" s="13" t="n">
        <v>7</v>
      </c>
      <c r="B8" s="10" t="n">
        <v>0.4097222222222222</v>
      </c>
      <c r="C8" s="10" t="n">
        <v>0.4109375</v>
      </c>
      <c r="D8" s="13">
        <f>IF(AND(B8&lt;&gt;"",C8&lt;&gt;""),(C8-B8)*86400,"")</f>
        <v/>
      </c>
      <c r="E8" s="13" t="inlineStr">
        <is>
          <t>No</t>
        </is>
      </c>
      <c r="F8" s="13" t="n"/>
      <c r="G8" s="13" t="n"/>
    </row>
    <row r="9">
      <c r="A9" s="13" t="n">
        <v>8</v>
      </c>
      <c r="B9" s="10" t="n">
        <v>0.4145833333333334</v>
      </c>
      <c r="C9" s="10" t="n">
        <v>0.4159722222222222</v>
      </c>
      <c r="D9" s="13">
        <f>IF(AND(B9&lt;&gt;"",C9&lt;&gt;""),(C9-B9)*86400,"")</f>
        <v/>
      </c>
      <c r="E9" s="13" t="inlineStr">
        <is>
          <t>No</t>
        </is>
      </c>
      <c r="F9" s="13" t="n"/>
      <c r="G9" s="13" t="n"/>
    </row>
    <row r="10">
      <c r="A10" s="13" t="n">
        <v>9</v>
      </c>
      <c r="B10" s="10" t="n">
        <v>0.4201388888888889</v>
      </c>
      <c r="C10" s="10" t="n">
        <v>0.4216435185185185</v>
      </c>
      <c r="D10" s="13">
        <f>IF(AND(B10&lt;&gt;"",C10&lt;&gt;""),(C10-B10)*86400,"")</f>
        <v/>
      </c>
      <c r="E10" s="13" t="inlineStr">
        <is>
          <t>No</t>
        </is>
      </c>
      <c r="F10" s="13" t="n"/>
      <c r="G10" s="13" t="n"/>
    </row>
    <row r="11">
      <c r="A11" s="13" t="n">
        <v>10</v>
      </c>
      <c r="B11" s="10" t="n">
        <v>0.4305555555555556</v>
      </c>
      <c r="C11" s="10" t="n">
        <v>0.431712962962963</v>
      </c>
      <c r="D11" s="13">
        <f>IF(AND(B11&lt;&gt;"",C11&lt;&gt;""),(C11-B11)*86400,"")</f>
        <v/>
      </c>
      <c r="E11" s="13" t="inlineStr">
        <is>
          <t>No</t>
        </is>
      </c>
      <c r="F11" s="13" t="n"/>
      <c r="G11" s="13" t="n"/>
    </row>
    <row r="12">
      <c r="A12" s="13" t="n">
        <v>11</v>
      </c>
      <c r="B12" s="10" t="n">
        <v>0.4375</v>
      </c>
      <c r="C12" s="10" t="n">
        <v>0.4388310185185185</v>
      </c>
      <c r="D12" s="13">
        <f>IF(AND(B12&lt;&gt;"",C12&lt;&gt;""),(C12-B12)*86400,"")</f>
        <v/>
      </c>
      <c r="E12" s="13" t="inlineStr">
        <is>
          <t>No</t>
        </is>
      </c>
      <c r="F12" s="13" t="n"/>
      <c r="G12" s="13" t="n"/>
    </row>
    <row r="13">
      <c r="A13" s="13" t="n">
        <v>12</v>
      </c>
      <c r="B13" s="10" t="n">
        <v>0.4423611111111111</v>
      </c>
      <c r="C13" s="10" t="n">
        <v>0.44375</v>
      </c>
      <c r="D13" s="13">
        <f>IF(AND(B13&lt;&gt;"",C13&lt;&gt;""),(C13-B13)*86400,"")</f>
        <v/>
      </c>
      <c r="E13" s="13" t="inlineStr">
        <is>
          <t>No</t>
        </is>
      </c>
      <c r="F13" s="13" t="n"/>
      <c r="G13" s="13" t="n"/>
    </row>
    <row r="14">
      <c r="A14" s="13" t="n">
        <v>13</v>
      </c>
      <c r="B14" s="10" t="n">
        <v>0.4513888888888889</v>
      </c>
      <c r="C14" s="10" t="n">
        <v>0.4527777777777778</v>
      </c>
      <c r="D14" s="13">
        <f>IF(AND(B14&lt;&gt;"",C14&lt;&gt;""),(C14-B14)*86400,"")</f>
        <v/>
      </c>
      <c r="E14" s="13" t="inlineStr">
        <is>
          <t>No</t>
        </is>
      </c>
      <c r="F14" s="13" t="n"/>
      <c r="G14" s="13" t="n"/>
    </row>
    <row r="15">
      <c r="A15" s="13" t="n">
        <v>14</v>
      </c>
      <c r="B15" s="10" t="n">
        <v>0.4756944444444444</v>
      </c>
      <c r="C15" s="10" t="n">
        <v>0.4784722222222222</v>
      </c>
      <c r="D15" s="13">
        <f>IF(AND(B15&lt;&gt;"",C15&lt;&gt;""),(C15-B15)*86400,"")</f>
        <v/>
      </c>
      <c r="E15" s="13" t="inlineStr">
        <is>
          <t>No</t>
        </is>
      </c>
      <c r="F15" s="13" t="n"/>
      <c r="G15" s="13" t="n"/>
    </row>
    <row r="16">
      <c r="A16" s="13" t="n">
        <v>15</v>
      </c>
      <c r="B16" s="10" t="n">
        <v>0.5</v>
      </c>
      <c r="C16" s="10" t="n">
        <v>0.5020833333333333</v>
      </c>
      <c r="D16" s="13">
        <f>IF(AND(B16&lt;&gt;"",C16&lt;&gt;""),(C16-B16)*86400,"")</f>
        <v/>
      </c>
      <c r="E16" s="13" t="inlineStr">
        <is>
          <t>No</t>
        </is>
      </c>
      <c r="F16" s="13" t="n"/>
      <c r="G16" s="13" t="n"/>
    </row>
    <row r="17">
      <c r="A17" s="13" t="n">
        <v>16</v>
      </c>
      <c r="B17" s="10" t="n">
        <v>0.5208333333333334</v>
      </c>
      <c r="C17" s="9" t="n">
        <v>0.5232638888888889</v>
      </c>
      <c r="D17" s="13">
        <f>IF(AND(B17&lt;&gt;"",C17&lt;&gt;""),(C17-B17)*86400,"")</f>
        <v/>
      </c>
      <c r="E17" s="13" t="inlineStr">
        <is>
          <t>No</t>
        </is>
      </c>
      <c r="F17" s="13" t="n"/>
      <c r="G17" s="13" t="n"/>
    </row>
    <row r="18">
      <c r="A18" s="13" t="n">
        <v>17</v>
      </c>
      <c r="B18" s="10" t="n">
        <v>0.5451388888888888</v>
      </c>
      <c r="C18" s="10" t="n">
        <v>0.5465277777777777</v>
      </c>
      <c r="D18" s="13">
        <f>IF(AND(B18&lt;&gt;"",C18&lt;&gt;""),(C18-B18)*86400,"")</f>
        <v/>
      </c>
      <c r="E18" s="13" t="inlineStr">
        <is>
          <t>Si</t>
        </is>
      </c>
      <c r="F18" s="13" t="inlineStr">
        <is>
          <t>Stock Insuficiente</t>
        </is>
      </c>
      <c r="G18" s="13" t="n"/>
    </row>
    <row r="19">
      <c r="A19" s="13" t="n">
        <v>18</v>
      </c>
      <c r="B19" s="10" t="n">
        <v>0.5590277777777778</v>
      </c>
      <c r="C19" s="10" t="n">
        <v>0.5602430555555555</v>
      </c>
      <c r="D19" s="13">
        <f>IF(AND(B19&lt;&gt;"",C19&lt;&gt;""),(C19-B19)*86400,"")</f>
        <v/>
      </c>
      <c r="E19" s="13" t="inlineStr">
        <is>
          <t>Si</t>
        </is>
      </c>
      <c r="F19" s="13" t="inlineStr">
        <is>
          <t>Stock Insuficiente</t>
        </is>
      </c>
      <c r="G19" s="13" t="n"/>
    </row>
    <row r="20">
      <c r="A20" s="13" t="n">
        <v>19</v>
      </c>
      <c r="B20" s="10" t="n">
        <v>0.5729166666666666</v>
      </c>
      <c r="C20" s="10" t="n">
        <v>0.5741898148148148</v>
      </c>
      <c r="D20" s="13">
        <f>IF(AND(B20&lt;&gt;"",C20&lt;&gt;""),(C20-B20)*86400,"")</f>
        <v/>
      </c>
      <c r="E20" s="13" t="inlineStr">
        <is>
          <t>Si</t>
        </is>
      </c>
      <c r="F20" s="13" t="inlineStr">
        <is>
          <t>Stock Insuficiente</t>
        </is>
      </c>
      <c r="G20" s="13" t="n"/>
    </row>
    <row r="21">
      <c r="A21" s="13" t="n">
        <v>20</v>
      </c>
      <c r="B21" s="10" t="n">
        <v>0.5972222222222222</v>
      </c>
      <c r="C21" s="10" t="n">
        <v>0.6</v>
      </c>
      <c r="D21" s="13">
        <f>IF(AND(B21&lt;&gt;"",C21&lt;&gt;""),(C21-B21)*86400,"")</f>
        <v/>
      </c>
      <c r="E21" s="13" t="inlineStr">
        <is>
          <t>No</t>
        </is>
      </c>
      <c r="F21" s="13" t="n"/>
      <c r="G21" s="13" t="n"/>
    </row>
    <row r="22">
      <c r="A22" s="2" t="n"/>
      <c r="B22" s="2" t="n"/>
      <c r="C22" s="2" t="n"/>
      <c r="D22" s="2" t="n"/>
      <c r="E22" s="2" t="n"/>
      <c r="F22" s="2" t="n"/>
      <c r="G22" s="2" t="n"/>
    </row>
    <row r="23">
      <c r="A23" s="12" t="inlineStr">
        <is>
          <t>Completar Hora inicio / Hora fin con formato hh:mm:ss (Excel calcula TPP en segundos solo). En Postest, estas horas se pueden tomar de los logs del sistema/n8n en vez de cronómetro manual.</t>
        </is>
      </c>
      <c r="B23" s="14" t="n"/>
      <c r="C23" s="14" t="n"/>
      <c r="D23" s="14" t="n"/>
      <c r="E23" s="14" t="n"/>
      <c r="F23" s="14" t="n"/>
      <c r="G23" s="15" t="n"/>
    </row>
    <row r="24">
      <c r="A24" s="16" t="n"/>
      <c r="G24" s="18" t="n"/>
    </row>
    <row r="25">
      <c r="A25" s="19" t="n"/>
      <c r="B25" s="20" t="n"/>
      <c r="C25" s="20" t="n"/>
      <c r="D25" s="20" t="n"/>
      <c r="E25" s="20" t="n"/>
      <c r="F25" s="20" t="n"/>
      <c r="G25" s="21"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row r="30">
      <c r="A30" s="2" t="n"/>
      <c r="B30" s="2" t="n"/>
      <c r="C30" s="2" t="n"/>
      <c r="D30" s="2" t="n"/>
      <c r="E30" s="2" t="n"/>
      <c r="F30" s="2" t="n"/>
      <c r="G30" s="2" t="n"/>
    </row>
    <row r="31">
      <c r="A31" s="2" t="n"/>
      <c r="B31" s="2" t="n"/>
      <c r="C31" s="2" t="n"/>
      <c r="D31" s="2" t="n"/>
      <c r="E31" s="2" t="n"/>
      <c r="F31" s="2" t="n"/>
      <c r="G31" s="2" t="n"/>
    </row>
    <row r="33">
      <c r="A33" s="22" t="n"/>
    </row>
  </sheetData>
  <mergeCells count="1">
    <mergeCell ref="A23:G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E21" sqref="E21"/>
    </sheetView>
  </sheetViews>
  <sheetFormatPr baseColWidth="10" defaultColWidth="8.88671875" defaultRowHeight="14.4"/>
  <cols>
    <col width="10" customWidth="1" style="17" min="1" max="1"/>
    <col width="26" customWidth="1" style="17" min="2" max="3"/>
    <col width="14" customWidth="1" style="17" min="4" max="4"/>
    <col width="20" customWidth="1" style="17" min="5" max="5"/>
    <col width="22" customWidth="1" style="17" min="6" max="6"/>
    <col width="30" customWidth="1" style="17" min="7" max="7"/>
  </cols>
  <sheetData>
    <row r="1" ht="28.8" customHeight="1" s="17">
      <c r="A1" s="1" t="inlineStr">
        <is>
          <t>ID escenario</t>
        </is>
      </c>
      <c r="B1" s="1" t="inlineStr">
        <is>
          <t>Hora inicio (recepción del pedido)</t>
        </is>
      </c>
      <c r="C1" s="1" t="inlineStr">
        <is>
          <t>Hora fin (registro confirmado)</t>
        </is>
      </c>
      <c r="D1" s="1" t="inlineStr">
        <is>
          <t>TPP (segundos)</t>
        </is>
      </c>
      <c r="E1" s="1" t="inlineStr">
        <is>
          <t>¿Hubo error de carga? (Sí/No)</t>
        </is>
      </c>
      <c r="F1" s="1" t="inlineStr">
        <is>
          <t>Tipo de error</t>
        </is>
      </c>
      <c r="G1" s="1" t="inlineStr">
        <is>
          <t>Observaciones</t>
        </is>
      </c>
    </row>
    <row r="2">
      <c r="A2" s="13" t="n">
        <v>1</v>
      </c>
      <c r="B2" s="9" t="n">
        <v>0.3840277777777778</v>
      </c>
      <c r="C2" s="9" t="n">
        <v>0.3843171296296296</v>
      </c>
      <c r="D2" s="13">
        <f>IF(AND(B2&lt;&gt;"",C2&lt;&gt;""),(C2-B2)*86400,"")</f>
        <v/>
      </c>
      <c r="E2" s="13" t="inlineStr">
        <is>
          <t>No</t>
        </is>
      </c>
      <c r="F2" s="13" t="n"/>
      <c r="G2" s="13" t="n"/>
    </row>
    <row r="3">
      <c r="A3" s="13" t="n">
        <v>2</v>
      </c>
      <c r="B3" s="9" t="n">
        <v>0.3855324074074074</v>
      </c>
      <c r="C3" s="9" t="n">
        <v>0.3858796296296296</v>
      </c>
      <c r="D3" s="13">
        <f>IF(AND(B3&lt;&gt;"",C3&lt;&gt;""),(C3-B3)*86400,"")</f>
        <v/>
      </c>
      <c r="E3" s="13" t="inlineStr">
        <is>
          <t>No</t>
        </is>
      </c>
      <c r="F3" s="13" t="n"/>
      <c r="G3" s="13" t="n"/>
    </row>
    <row r="4">
      <c r="A4" s="13" t="n">
        <v>3</v>
      </c>
      <c r="B4" s="9" t="n">
        <v>0.3888888888888889</v>
      </c>
      <c r="C4" s="9" t="n">
        <v>0.3892361111111111</v>
      </c>
      <c r="D4" s="13">
        <f>IF(AND(B4&lt;&gt;"",C4&lt;&gt;""),(C4-B4)*86400,"")</f>
        <v/>
      </c>
      <c r="E4" s="13" t="inlineStr">
        <is>
          <t>No</t>
        </is>
      </c>
      <c r="F4" s="13" t="n"/>
      <c r="G4" s="13" t="n"/>
    </row>
    <row r="5">
      <c r="A5" s="13" t="n">
        <v>4</v>
      </c>
      <c r="B5" s="9" t="n">
        <v>0.3946759259259259</v>
      </c>
      <c r="C5" s="9" t="n">
        <v>0.3951388888888889</v>
      </c>
      <c r="D5" s="13">
        <f>IF(AND(B5&lt;&gt;"",C5&lt;&gt;""),(C5-B5)*86400,"")</f>
        <v/>
      </c>
      <c r="E5" s="13" t="inlineStr">
        <is>
          <t>No</t>
        </is>
      </c>
      <c r="F5" s="13" t="n"/>
      <c r="G5" s="13" t="n"/>
    </row>
    <row r="6">
      <c r="A6" s="13" t="n">
        <v>5</v>
      </c>
      <c r="B6" s="9" t="n">
        <v>0.3961805555555555</v>
      </c>
      <c r="C6" s="9" t="n">
        <v>0.396412037037037</v>
      </c>
      <c r="D6" s="13">
        <f>IF(AND(B6&lt;&gt;"",C6&lt;&gt;""),(C6-B6)*86400,"")</f>
        <v/>
      </c>
      <c r="E6" s="13" t="inlineStr">
        <is>
          <t>No</t>
        </is>
      </c>
      <c r="F6" s="13" t="n"/>
      <c r="G6" s="13" t="n"/>
    </row>
    <row r="7">
      <c r="A7" s="13" t="n">
        <v>6</v>
      </c>
      <c r="B7" s="10" t="n">
        <v>0.3994212962962963</v>
      </c>
      <c r="C7" s="10" t="n">
        <v>0.3997106481481482</v>
      </c>
      <c r="D7" s="13">
        <f>IF(AND(B7&lt;&gt;"",C7&lt;&gt;""),(C7-B7)*86400,"")</f>
        <v/>
      </c>
      <c r="E7" s="13" t="inlineStr">
        <is>
          <t>No</t>
        </is>
      </c>
      <c r="F7" s="13" t="n"/>
      <c r="G7" s="13" t="n"/>
    </row>
    <row r="8">
      <c r="A8" s="13" t="n">
        <v>7</v>
      </c>
      <c r="B8" s="10" t="n">
        <v>0.4034722222222222</v>
      </c>
      <c r="C8" s="10" t="n">
        <v>0.4038773148148148</v>
      </c>
      <c r="D8" s="13">
        <f>IF(AND(B8&lt;&gt;"",C8&lt;&gt;""),(C8-B8)*86400,"")</f>
        <v/>
      </c>
      <c r="E8" s="13" t="inlineStr">
        <is>
          <t>No</t>
        </is>
      </c>
      <c r="F8" s="13" t="n"/>
      <c r="G8" s="13" t="n"/>
    </row>
    <row r="9">
      <c r="A9" s="13" t="n">
        <v>8</v>
      </c>
      <c r="B9" s="10" t="n">
        <v>0.4085648148148148</v>
      </c>
      <c r="C9" s="10" t="n">
        <v>0.4088194444444445</v>
      </c>
      <c r="D9" s="13">
        <f>IF(AND(B9&lt;&gt;"",C9&lt;&gt;""),(C9-B9)*86400,"")</f>
        <v/>
      </c>
      <c r="E9" s="13" t="inlineStr">
        <is>
          <t>No</t>
        </is>
      </c>
      <c r="F9" s="13" t="n"/>
      <c r="G9" s="13" t="n"/>
    </row>
    <row r="10">
      <c r="A10" s="13" t="n">
        <v>9</v>
      </c>
      <c r="B10" s="10" t="n">
        <v>0.4131944444444444</v>
      </c>
      <c r="C10" s="10" t="n">
        <v>0.4137152777777778</v>
      </c>
      <c r="D10" s="13">
        <f>IF(AND(B10&lt;&gt;"",C10&lt;&gt;""),(C10-B10)*86400,"")</f>
        <v/>
      </c>
      <c r="E10" s="13" t="inlineStr">
        <is>
          <t>No</t>
        </is>
      </c>
      <c r="F10" s="13" t="n"/>
      <c r="G10" s="13" t="n"/>
    </row>
    <row r="11">
      <c r="A11" s="13" t="n">
        <v>10</v>
      </c>
      <c r="B11" s="10" t="n">
        <v>0.4182291666666667</v>
      </c>
      <c r="C11" s="10" t="n">
        <v>0.4185763888888889</v>
      </c>
      <c r="D11" s="13">
        <f>IF(AND(B11&lt;&gt;"",C11&lt;&gt;""),(C11-B11)*86400,"")</f>
        <v/>
      </c>
      <c r="E11" s="13" t="inlineStr">
        <is>
          <t>No</t>
        </is>
      </c>
      <c r="F11" s="13" t="n"/>
      <c r="G11" s="13" t="n"/>
    </row>
    <row r="12">
      <c r="A12" s="13" t="n">
        <v>11</v>
      </c>
      <c r="B12" s="10" t="n">
        <v>0.4239583333333333</v>
      </c>
      <c r="C12" s="10" t="n">
        <v>0.4243634259259259</v>
      </c>
      <c r="D12" s="13">
        <f>IF(AND(B12&lt;&gt;"",C12&lt;&gt;""),(C12-B12)*86400,"")</f>
        <v/>
      </c>
      <c r="E12" s="13" t="inlineStr">
        <is>
          <t>No</t>
        </is>
      </c>
      <c r="F12" s="13" t="n"/>
      <c r="G12" s="13" t="n"/>
    </row>
    <row r="13">
      <c r="A13" s="13" t="n">
        <v>12</v>
      </c>
      <c r="B13" s="10" t="n">
        <v>0.4291666666666666</v>
      </c>
      <c r="C13" s="10" t="n">
        <v>0.4294907407407407</v>
      </c>
      <c r="D13" s="13">
        <f>IF(AND(B13&lt;&gt;"",C13&lt;&gt;""),(C13-B13)*86400,"")</f>
        <v/>
      </c>
      <c r="E13" s="13" t="inlineStr">
        <is>
          <t>No</t>
        </is>
      </c>
      <c r="F13" s="13" t="n"/>
      <c r="G13" s="13" t="n"/>
    </row>
    <row r="14">
      <c r="A14" s="13" t="n">
        <v>13</v>
      </c>
      <c r="B14" s="10" t="n">
        <v>0.4344907407407407</v>
      </c>
      <c r="C14" s="10" t="n">
        <v>0.4348611111111111</v>
      </c>
      <c r="D14" s="13">
        <f>IF(AND(B14&lt;&gt;"",C14&lt;&gt;""),(C14-B14)*86400,"")</f>
        <v/>
      </c>
      <c r="E14" s="13" t="inlineStr">
        <is>
          <t>No</t>
        </is>
      </c>
      <c r="F14" s="13" t="n"/>
      <c r="G14" s="13" t="n"/>
    </row>
    <row r="15">
      <c r="A15" s="13" t="n">
        <v>14</v>
      </c>
      <c r="B15" s="10" t="n">
        <v>0.4409722222222222</v>
      </c>
      <c r="C15" s="10" t="n">
        <v>0.4416087962962963</v>
      </c>
      <c r="D15" s="13">
        <f>IF(AND(B15&lt;&gt;"",C15&lt;&gt;""),(C15-B15)*86400,"")</f>
        <v/>
      </c>
      <c r="E15" s="13" t="inlineStr">
        <is>
          <t>No</t>
        </is>
      </c>
      <c r="F15" s="13" t="n"/>
      <c r="G15" s="13" t="n"/>
    </row>
    <row r="16">
      <c r="A16" s="13" t="n">
        <v>15</v>
      </c>
      <c r="B16" s="10" t="n">
        <v>0.4501157407407407</v>
      </c>
      <c r="C16" s="10" t="n">
        <v>0.4506712962962963</v>
      </c>
      <c r="D16" s="13">
        <f>IF(AND(B16&lt;&gt;"",C16&lt;&gt;""),(C16-B16)*86400,"")</f>
        <v/>
      </c>
      <c r="E16" s="13" t="inlineStr">
        <is>
          <t>No</t>
        </is>
      </c>
      <c r="F16" s="13" t="n"/>
      <c r="G16" s="13" t="n"/>
    </row>
    <row r="17">
      <c r="A17" s="13" t="n">
        <v>16</v>
      </c>
      <c r="B17" s="10" t="n">
        <v>0.4597222222222222</v>
      </c>
      <c r="C17" s="10" t="n">
        <v>0.4603009259259259</v>
      </c>
      <c r="D17" s="13">
        <f>IF(AND(B17&lt;&gt;"",C17&lt;&gt;""),(C17-B17)*86400,"")</f>
        <v/>
      </c>
      <c r="E17" s="13" t="inlineStr">
        <is>
          <t>No</t>
        </is>
      </c>
      <c r="F17" s="13" t="n"/>
      <c r="G17" s="13" t="n"/>
    </row>
    <row r="18">
      <c r="A18" s="13" t="n">
        <v>17</v>
      </c>
      <c r="B18" s="10" t="n">
        <v>0.4690972222222222</v>
      </c>
      <c r="C18" s="10" t="n">
        <v>0.4693055555555555</v>
      </c>
      <c r="D18" s="13">
        <f>IF(AND(B18&lt;&gt;"",C18&lt;&gt;""),(C18-B18)*86400,"")</f>
        <v/>
      </c>
      <c r="E18" s="13" t="inlineStr">
        <is>
          <t>Si</t>
        </is>
      </c>
      <c r="F18" s="13" t="inlineStr">
        <is>
          <t>Stock Insuficiente</t>
        </is>
      </c>
      <c r="G18" s="13" t="n"/>
    </row>
    <row r="19">
      <c r="A19" s="13" t="n">
        <v>18</v>
      </c>
      <c r="B19" s="10" t="n">
        <v>0.4777777777777778</v>
      </c>
      <c r="C19" s="10" t="n">
        <v>0.4779513888888889</v>
      </c>
      <c r="D19" s="13">
        <f>IF(AND(B19&lt;&gt;"",C19&lt;&gt;""),(C19-B19)*86400,"")</f>
        <v/>
      </c>
      <c r="E19" s="13" t="inlineStr">
        <is>
          <t>Si</t>
        </is>
      </c>
      <c r="F19" s="13" t="inlineStr">
        <is>
          <t>Stock Insuficiente</t>
        </is>
      </c>
      <c r="G19" s="13" t="n"/>
    </row>
    <row r="20">
      <c r="A20" s="13" t="n">
        <v>19</v>
      </c>
      <c r="B20" s="10" t="n">
        <v>0.4876157407407408</v>
      </c>
      <c r="C20" s="10" t="n">
        <v>0.4878703703703703</v>
      </c>
      <c r="D20" s="13">
        <f>IF(AND(B20&lt;&gt;"",C20&lt;&gt;""),(C20-B20)*86400,"")</f>
        <v/>
      </c>
      <c r="E20" s="13" t="inlineStr">
        <is>
          <t>Si</t>
        </is>
      </c>
      <c r="F20" s="13" t="inlineStr">
        <is>
          <t>Stock Insuficiente</t>
        </is>
      </c>
      <c r="G20" s="13" t="n"/>
    </row>
    <row r="21">
      <c r="A21" s="13" t="n">
        <v>20</v>
      </c>
      <c r="B21" s="10" t="n">
        <v>0.4965277777777778</v>
      </c>
      <c r="C21" s="10" t="n">
        <v>0.4969907407407407</v>
      </c>
      <c r="D21" s="13">
        <f>IF(AND(B21&lt;&gt;"",C21&lt;&gt;""),(C21-B21)*86400,"")</f>
        <v/>
      </c>
      <c r="E21" s="13" t="inlineStr">
        <is>
          <t>No</t>
        </is>
      </c>
      <c r="F21" s="13" t="n"/>
      <c r="G21" s="13" t="n"/>
    </row>
    <row r="22">
      <c r="A22" s="2" t="n"/>
      <c r="B22" s="2" t="n"/>
      <c r="C22" s="2" t="n"/>
      <c r="D22" s="2" t="n"/>
      <c r="E22" s="13" t="n"/>
      <c r="F22" s="2" t="n"/>
      <c r="G22" s="2" t="n"/>
    </row>
    <row r="23">
      <c r="A23" s="12" t="inlineStr">
        <is>
          <t>Completar Hora inicio / Hora fin con formato hh:mm:ss (Excel calcula TPP en segundos solo). En Postest, estas horas se pueden tomar de los logs del sistema/n8n en vez de cronómetro manual.</t>
        </is>
      </c>
      <c r="B23" s="14" t="n"/>
      <c r="C23" s="14" t="n"/>
      <c r="D23" s="14" t="n"/>
      <c r="E23" s="14" t="n"/>
      <c r="F23" s="14" t="n"/>
      <c r="G23" s="15" t="n"/>
    </row>
    <row r="24">
      <c r="A24" s="16" t="n"/>
      <c r="G24" s="18" t="n"/>
    </row>
    <row r="25">
      <c r="A25" s="19" t="n"/>
      <c r="B25" s="20" t="n"/>
      <c r="C25" s="20" t="n"/>
      <c r="D25" s="20" t="n"/>
      <c r="E25" s="20" t="n"/>
      <c r="F25" s="20" t="n"/>
      <c r="G25" s="21"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row r="30">
      <c r="A30" s="2" t="n"/>
      <c r="B30" s="2" t="n"/>
      <c r="C30" s="2" t="n"/>
      <c r="D30" s="2" t="n"/>
      <c r="E30" s="2" t="n"/>
      <c r="F30" s="2" t="n"/>
      <c r="G30" s="2" t="n"/>
    </row>
    <row r="31">
      <c r="A31" s="2" t="n"/>
      <c r="B31" s="2" t="n"/>
      <c r="C31" s="2" t="n"/>
      <c r="D31" s="2" t="n"/>
      <c r="E31" s="2" t="n"/>
      <c r="F31" s="2" t="n"/>
      <c r="G31" s="2" t="n"/>
    </row>
    <row r="33">
      <c r="A33" s="22" t="n"/>
    </row>
  </sheetData>
  <mergeCells count="1">
    <mergeCell ref="A23: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E12" sqref="E12"/>
    </sheetView>
  </sheetViews>
  <sheetFormatPr baseColWidth="10" defaultColWidth="8.88671875" defaultRowHeight="14.4"/>
  <cols>
    <col width="10" customWidth="1" style="17" min="1" max="2"/>
    <col width="14" customWidth="1" style="17" min="3" max="3"/>
    <col width="18" customWidth="1" style="17" min="4" max="4"/>
    <col width="22" customWidth="1" style="17" min="5" max="5"/>
    <col width="20" customWidth="1" style="17" min="6" max="6"/>
    <col width="26" customWidth="1" style="17" min="7" max="7"/>
    <col width="12" customWidth="1" style="17" min="8" max="8"/>
  </cols>
  <sheetData>
    <row r="1" ht="28.8" customHeight="1" s="17">
      <c r="A1" s="11" t="inlineStr">
        <is>
          <t>N° auditoría</t>
        </is>
      </c>
      <c r="B1" s="11" t="inlineStr">
        <is>
          <t>Momento</t>
        </is>
      </c>
      <c r="C1" s="11" t="inlineStr">
        <is>
          <t>Último pedido que involucró este producto (referencia)</t>
        </is>
      </c>
      <c r="D1" s="11" t="inlineStr">
        <is>
          <t>Fecha y hora</t>
        </is>
      </c>
      <c r="E1" s="11" t="inlineStr">
        <is>
          <t>Producto auditado</t>
        </is>
      </c>
      <c r="F1" s="11" t="inlineStr">
        <is>
          <t>Stock físico (conteo manual)</t>
        </is>
      </c>
      <c r="G1" s="11" t="inlineStr">
        <is>
          <t>Stock registrado (planilla en pretest / sistema en postest)</t>
        </is>
      </c>
      <c r="H1" s="11" t="inlineStr">
        <is>
          <t>¿Coincide? (Sí/No)</t>
        </is>
      </c>
    </row>
    <row r="2">
      <c r="A2" s="12" t="n">
        <v>1</v>
      </c>
      <c r="B2" s="12" t="inlineStr">
        <is>
          <t>Pretest</t>
        </is>
      </c>
      <c r="C2" s="12" t="n">
        <v>4</v>
      </c>
      <c r="D2" s="23" t="n">
        <v>0.6041666666666666</v>
      </c>
      <c r="E2" s="12" t="inlineStr">
        <is>
          <t>Jabón Dove</t>
        </is>
      </c>
      <c r="F2" s="12" t="n">
        <v>12</v>
      </c>
      <c r="G2" s="12" t="n">
        <v>12</v>
      </c>
      <c r="H2" s="12">
        <f>IF(AND(F2&lt;&gt;"",G2&lt;&gt;""),IF(F2=G2,"Sí","No"),"")</f>
        <v/>
      </c>
    </row>
    <row r="3">
      <c r="A3" s="12" t="n">
        <v>2</v>
      </c>
      <c r="B3" s="12" t="inlineStr">
        <is>
          <t>Pretest</t>
        </is>
      </c>
      <c r="C3" s="12" t="n">
        <v>8</v>
      </c>
      <c r="D3" s="23" t="n">
        <v>0.6045138888888889</v>
      </c>
      <c r="E3" s="12" t="inlineStr">
        <is>
          <t>Bombón Bon o Bon</t>
        </is>
      </c>
      <c r="F3" s="12" t="n">
        <v>44</v>
      </c>
      <c r="G3" s="12" t="n">
        <v>45</v>
      </c>
      <c r="H3" s="12">
        <f>IF(AND(F3&lt;&gt;"",G3&lt;&gt;""),IF(F3=G3,"Sí","No"),"")</f>
        <v/>
      </c>
    </row>
    <row r="4">
      <c r="A4" s="12" t="n">
        <v>3</v>
      </c>
      <c r="B4" s="12" t="inlineStr">
        <is>
          <t>Pretest</t>
        </is>
      </c>
      <c r="C4" s="12" t="n">
        <v>12</v>
      </c>
      <c r="D4" s="23" t="n">
        <v>0.6048611111111111</v>
      </c>
      <c r="E4" s="12" t="inlineStr">
        <is>
          <t>Gomitas Mogul</t>
        </is>
      </c>
      <c r="F4" s="12" t="n">
        <v>7</v>
      </c>
      <c r="G4" s="12" t="n">
        <v>8</v>
      </c>
      <c r="H4" s="12">
        <f>IF(AND(F4&lt;&gt;"",G4&lt;&gt;""),IF(F4=G4,"Sí","No"),"")</f>
        <v/>
      </c>
    </row>
    <row r="5">
      <c r="A5" s="12" t="n">
        <v>4</v>
      </c>
      <c r="B5" s="12" t="inlineStr">
        <is>
          <t>Pretest</t>
        </is>
      </c>
      <c r="C5" s="12" t="n">
        <v>16</v>
      </c>
      <c r="D5" s="23" t="n">
        <v>0.6052083333333333</v>
      </c>
      <c r="E5" s="12" t="inlineStr">
        <is>
          <t>Leche descremada LS</t>
        </is>
      </c>
      <c r="F5" s="12" t="n">
        <v>27</v>
      </c>
      <c r="G5" s="12" t="n">
        <v>27</v>
      </c>
      <c r="H5" s="12">
        <f>IF(AND(F5&lt;&gt;"",G5&lt;&gt;""),IF(F5=G5,"Sí","No"),"")</f>
        <v/>
      </c>
    </row>
    <row r="6">
      <c r="A6" s="12" t="n">
        <v>5</v>
      </c>
      <c r="B6" s="12" t="inlineStr">
        <is>
          <t>Pretest</t>
        </is>
      </c>
      <c r="C6" s="12" t="n">
        <v>20</v>
      </c>
      <c r="D6" s="23" t="n">
        <v>0.6055555555555555</v>
      </c>
      <c r="E6" s="12" t="inlineStr">
        <is>
          <t>Doritos 250gr</t>
        </is>
      </c>
      <c r="F6" s="12" t="n">
        <v>24</v>
      </c>
      <c r="G6" s="12" t="n">
        <v>24</v>
      </c>
      <c r="H6" s="12">
        <f>IF(AND(F6&lt;&gt;"",G6&lt;&gt;""),IF(F6=G6,"Sí","No"),"")</f>
        <v/>
      </c>
    </row>
    <row r="7">
      <c r="A7" s="12" t="n">
        <v>6</v>
      </c>
      <c r="B7" s="12" t="inlineStr">
        <is>
          <t>Postest</t>
        </is>
      </c>
      <c r="C7" s="12" t="n">
        <v>4</v>
      </c>
      <c r="D7" s="23" t="n">
        <v>0.5</v>
      </c>
      <c r="E7" s="12" t="inlineStr">
        <is>
          <t>Jabón Dove</t>
        </is>
      </c>
      <c r="F7" s="12" t="n">
        <v>10</v>
      </c>
      <c r="G7" s="12" t="n">
        <v>10</v>
      </c>
      <c r="H7" s="12">
        <f>IF(AND(F7&lt;&gt;"",G7&lt;&gt;""),IF(F7=G7,"Sí","No"),"")</f>
        <v/>
      </c>
    </row>
    <row r="8">
      <c r="A8" s="12" t="n">
        <v>7</v>
      </c>
      <c r="B8" s="12" t="inlineStr">
        <is>
          <t>Postest</t>
        </is>
      </c>
      <c r="C8" s="12" t="n">
        <v>8</v>
      </c>
      <c r="D8" s="23" t="n">
        <v>0.5003472222222223</v>
      </c>
      <c r="E8" s="12" t="inlineStr">
        <is>
          <t>Bombón Bon o Bon</t>
        </is>
      </c>
      <c r="F8" s="12" t="n">
        <v>28</v>
      </c>
      <c r="G8" s="12" t="n">
        <v>28</v>
      </c>
      <c r="H8" s="12">
        <f>IF(AND(F8&lt;&gt;"",G8&lt;&gt;""),IF(F8=G8,"Sí","No"),"")</f>
        <v/>
      </c>
    </row>
    <row r="9">
      <c r="A9" s="12" t="n">
        <v>8</v>
      </c>
      <c r="B9" s="12" t="inlineStr">
        <is>
          <t>Postest</t>
        </is>
      </c>
      <c r="C9" s="12" t="n">
        <v>12</v>
      </c>
      <c r="D9" s="23" t="n">
        <v>0.5006944444444444</v>
      </c>
      <c r="E9" s="12" t="inlineStr">
        <is>
          <t>Gomitas Mogul</t>
        </is>
      </c>
      <c r="F9" s="12" t="n">
        <v>10</v>
      </c>
      <c r="G9" s="12" t="n">
        <v>10</v>
      </c>
      <c r="H9" s="12">
        <f>IF(AND(F9&lt;&gt;"",G9&lt;&gt;""),IF(F9=G9,"Sí","No"),"")</f>
        <v/>
      </c>
    </row>
    <row r="10">
      <c r="A10" s="12" t="n">
        <v>9</v>
      </c>
      <c r="B10" s="12" t="inlineStr">
        <is>
          <t>Postest</t>
        </is>
      </c>
      <c r="C10" s="12" t="n">
        <v>16</v>
      </c>
      <c r="D10" s="23" t="n">
        <v>0.5010416666666667</v>
      </c>
      <c r="E10" s="12" t="inlineStr">
        <is>
          <t>Leche descremada LS</t>
        </is>
      </c>
      <c r="F10" s="12" t="n">
        <v>8</v>
      </c>
      <c r="G10" s="12" t="n">
        <v>8</v>
      </c>
      <c r="H10" s="12">
        <f>IF(AND(F10&lt;&gt;"",G10&lt;&gt;""),IF(F10=G10,"Sí","No"),"")</f>
        <v/>
      </c>
    </row>
    <row r="11">
      <c r="A11" s="12" t="n">
        <v>10</v>
      </c>
      <c r="B11" s="12" t="inlineStr">
        <is>
          <t>Postest</t>
        </is>
      </c>
      <c r="C11" s="12" t="n">
        <v>20</v>
      </c>
      <c r="D11" s="23" t="n">
        <v>0.5013888888888889</v>
      </c>
      <c r="E11" s="12" t="inlineStr">
        <is>
          <t>Doritos 250gr</t>
        </is>
      </c>
      <c r="F11" s="12" t="n">
        <v>10</v>
      </c>
      <c r="G11" s="12" t="n">
        <v>10</v>
      </c>
      <c r="H11" s="12">
        <f>IF(AND(F11&lt;&gt;"",G11&lt;&gt;""),IF(F11=G11,"Sí","No"),"")</f>
        <v/>
      </c>
    </row>
    <row r="13">
      <c r="A13" s="22" t="inlineStr">
        <is>
          <t>El conteo físico se realizó en una única sesión al cierre de cada corrida completa (pretest y postest), auditando 5 productos distintos por condición — no como checkpoints intermedios durante la corrida. Esto coincide con la definición de NAS de la sección 3.5 ("al final de cada jornada operativa"). La columna "Último pedido que involucró este producto" es solo referencia de qué pedido generó el movimiento de stock auditado, no el momento en que se hizo el conteo.</t>
        </is>
      </c>
    </row>
    <row r="14"/>
    <row r="15"/>
    <row r="16"/>
  </sheetData>
  <mergeCells count="1">
    <mergeCell ref="A13:H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9"/>
  <sheetViews>
    <sheetView tabSelected="1" workbookViewId="0">
      <selection activeCell="A1" sqref="A1"/>
    </sheetView>
  </sheetViews>
  <sheetFormatPr baseColWidth="10" defaultColWidth="8.88671875" defaultRowHeight="14.4"/>
  <cols>
    <col width="40" customWidth="1" style="17" min="1" max="1"/>
    <col width="16" customWidth="1" style="17" min="2" max="2"/>
    <col width="14" customWidth="1" style="17" min="3" max="3"/>
    <col width="16" customWidth="1" style="17" min="4" max="4"/>
    <col width="14" customWidth="1" style="17" min="5" max="5"/>
    <col width="16" customWidth="1" style="17" min="6" max="6"/>
    <col width="18" customWidth="1" style="17" min="7" max="7"/>
    <col width="20" customWidth="1" style="17" min="8" max="9"/>
  </cols>
  <sheetData>
    <row r="1" ht="28.8" customHeight="1" s="17">
      <c r="A1" s="1" t="inlineStr">
        <is>
          <t>Variable</t>
        </is>
      </c>
      <c r="B1" s="1" t="inlineStr">
        <is>
          <t>Pretest (media)</t>
        </is>
      </c>
      <c r="C1" s="1" t="inlineStr">
        <is>
          <t>Pretest (DE)</t>
        </is>
      </c>
      <c r="D1" s="1" t="inlineStr">
        <is>
          <t>Postest (media)</t>
        </is>
      </c>
      <c r="E1" s="1" t="inlineStr">
        <is>
          <t>Postest (DE)</t>
        </is>
      </c>
      <c r="F1" s="1" t="inlineStr">
        <is>
          <t>Diferencia observada</t>
        </is>
      </c>
      <c r="G1" s="1" t="inlineStr">
        <is>
          <t>% de reducción/mejora</t>
        </is>
      </c>
      <c r="H1" s="1" t="inlineStr">
        <is>
          <t>Valor p (T.TEST pareado)</t>
        </is>
      </c>
      <c r="I1" s="1" t="inlineStr">
        <is>
          <t>¿Cumple umbral de H1?</t>
        </is>
      </c>
    </row>
    <row r="2" ht="28.8" customHeight="1" s="17">
      <c r="A2" s="2" t="inlineStr">
        <is>
          <t>TPP - Tiempo de procesamiento de pedidos (segundos)</t>
        </is>
      </c>
      <c r="B2" s="3">
        <f>AVERAGE(Pretest!D2:D21)</f>
        <v/>
      </c>
      <c r="C2" s="2">
        <f>STDEV(Pretest!D2:D21)</f>
        <v/>
      </c>
      <c r="D2" s="3">
        <f>AVERAGE(Postest!D2:D21)</f>
        <v/>
      </c>
      <c r="E2" s="2">
        <f>STDEV(Postest!D2:D21)</f>
        <v/>
      </c>
      <c r="F2" s="2">
        <f>B2-D2</f>
        <v/>
      </c>
      <c r="G2" s="4">
        <f>IF(B2=0,"",(B2-D2)/B2)</f>
        <v/>
      </c>
      <c r="H2" s="2">
        <f>_xludf.T.TEST(Pretest!D2:D21,Postest!D2:D21,2,1)</f>
        <v/>
      </c>
      <c r="I2" s="2">
        <f>IF(G2="","",IF(G2&gt;=0.5,"Sí (umbral 50%)","No"))</f>
        <v/>
      </c>
    </row>
    <row r="3">
      <c r="A3" s="2" t="inlineStr">
        <is>
          <t>TED - Tasa de errores en la carga de datos (%)</t>
        </is>
      </c>
      <c r="B3" s="3">
        <f>(COUNTIF(Pretest!E2:E21,"Sí")-COUNTIF(Pretest!E18:E20,"Sí"))/(COUNTA(Pretest!E2:E21)-COUNTA(Pretest!E18:E20))</f>
        <v/>
      </c>
      <c r="C3" s="2" t="n"/>
      <c r="D3" s="3">
        <f>(COUNTIF(Postest!E2:E21,"Sí")-COUNTIF(Postest!E18:E20,"Sí"))/(COUNTA(Postest!E2:E21)-COUNTA(Postest!E18:E20))</f>
        <v/>
      </c>
      <c r="E3" s="2" t="n"/>
      <c r="F3" s="2">
        <f>B3-D3</f>
        <v/>
      </c>
      <c r="G3" s="4">
        <f>IF(B3=0,"",(B3-D3)/B3)</f>
        <v/>
      </c>
      <c r="H3" s="2" t="n"/>
      <c r="I3" s="2">
        <f>IF(G3="","",IF(G3&gt;=0.6,"Sí (umbral 60%)","No"))</f>
        <v/>
      </c>
    </row>
    <row r="4">
      <c r="A4" s="2" t="inlineStr">
        <is>
          <t>NAS - Nivel de actualización del stock (%)</t>
        </is>
      </c>
      <c r="B4" s="3">
        <f>COUNTIFS(Auditorias_Stock!B2:B11,"Pretest",Auditorias_Stock!H2:H11,"Sí")/COUNTIF(Auditorias_Stock!B2:B11,"Pretest")</f>
        <v/>
      </c>
      <c r="C4" s="2" t="n"/>
      <c r="D4" s="3">
        <f>COUNTIFS(Auditorias_Stock!B2:B11,"Postest",Auditorias_Stock!H2:H11,"Sí")/COUNTIF(Auditorias_Stock!B2:B11,"Postest")</f>
        <v/>
      </c>
      <c r="E4" s="2" t="n"/>
      <c r="F4" s="2">
        <f>D4-B4</f>
        <v/>
      </c>
      <c r="G4" s="4" t="n"/>
      <c r="H4" s="2" t="n"/>
      <c r="I4" s="2" t="n"/>
    </row>
    <row r="6">
      <c r="A6" s="22" t="inlineStr">
        <is>
          <t>Esta hoja recalcula sola a partir de lo cargado en Pretest / Postest / Auditorias_Stock. TED excluye a proposito las filas 18-20 (stock insuficiente): esas filas estan disenadas para fallar por igual en las dos condiciones, y un rechazo por falta de stock no es un error de carga de datos (el pedido se capturo bien, simplemente no se puede cumplir). Se siguen registrando como "Si" en la columna de error de Pretest/Postest a fines descriptivos, pero no entran en el calculo de TED. El valor p de TED y NAS no se calcula con T.TEST porque son proporciones, no tiempos continuos: para esas dos, si quieren un contraste formal, usen una prueba de proporciones (ej. prueba de McNemar para datos pareados) - comentenlo con su director si quieren profundizar el analisis estadistico.</t>
        </is>
      </c>
    </row>
    <row r="7"/>
    <row r="8"/>
    <row r="9"/>
  </sheetData>
  <mergeCells count="1">
    <mergeCell ref="A6:I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2026-07-02T21:27:16Z</dcterms:created>
  <dcterms:modified xmlns:dcterms="http://purl.org/dc/terms/" xmlns:xsi="http://www.w3.org/2001/XMLSchema-instance" xsi:type="dcterms:W3CDTF">2026-07-02T23:32:22Z</dcterms:modified>
  <cp:lastModifiedBy>Juan Ignacio Juarez</cp:lastModifiedBy>
</cp:coreProperties>
</file>