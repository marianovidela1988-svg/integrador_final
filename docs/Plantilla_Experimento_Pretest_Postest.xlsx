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940" tabRatio="600" firstSheet="0" activeTab="3" autoFilterDateGrouping="1"/>
  </bookViews>
  <sheets>
    <sheet name="Escenarios" sheetId="1" state="visible" r:id="rId1"/>
    <sheet name="Warmup" sheetId="2" state="visible" r:id="rId2"/>
    <sheet name="Pretest" sheetId="3" state="visible" r:id="rId3"/>
    <sheet name="Postest" sheetId="4" state="visible" r:id="rId4"/>
    <sheet name="Auditoria_Stock" sheetId="5" state="visible" r:id="rId5"/>
    <sheet name="Metadatos_corrida" sheetId="6" state="visible" r:id="rId6"/>
  </sheets>
  <definedNames/>
  <calcPr calcId="19102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name val="Calibri"/>
      <family val="2"/>
      <b val="1"/>
      <color rgb="FFFFFFFF"/>
      <sz val="11"/>
    </font>
  </fonts>
  <fills count="3">
    <fill>
      <patternFill/>
    </fill>
    <fill>
      <patternFill patternType="gray125"/>
    </fill>
    <fill>
      <patternFill patternType="solid">
        <fgColor rgb="FF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21" fontId="0" fillId="0" borderId="0" pivotButton="0" quotePrefix="0" xfId="0"/>
    <xf numFmtId="14"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10" defaultColWidth="8.83203125" defaultRowHeight="15"/>
  <cols>
    <col width="5" customWidth="1" min="1" max="1"/>
    <col width="26" customWidth="1" min="2" max="2"/>
    <col width="22" customWidth="1" min="3" max="3"/>
    <col width="44" customWidth="1" min="4" max="4"/>
    <col width="10" customWidth="1" min="5" max="5"/>
    <col width="26" customWidth="1" min="6" max="6"/>
  </cols>
  <sheetData>
    <row r="1" ht="16" customHeight="1">
      <c r="A1" s="1" t="inlineStr">
        <is>
          <t>ID</t>
        </is>
      </c>
      <c r="B1" s="1" t="inlineStr">
        <is>
          <t>Tipo</t>
        </is>
      </c>
      <c r="C1" s="1" t="inlineStr">
        <is>
          <t>Categoria</t>
        </is>
      </c>
      <c r="D1" s="1" t="inlineStr">
        <is>
          <t>Producto(s)</t>
        </is>
      </c>
      <c r="E1" s="1" t="inlineStr">
        <is>
          <t>Cantidad</t>
        </is>
      </c>
      <c r="F1" s="1" t="inlineStr">
        <is>
          <t>Resultado esperado</t>
        </is>
      </c>
    </row>
    <row r="2">
      <c r="A2" t="n">
        <v>1</v>
      </c>
      <c r="B2" t="inlineStr">
        <is>
          <t>Simple 1 producto</t>
        </is>
      </c>
      <c r="C2" t="inlineStr">
        <is>
          <t>Bebidas</t>
        </is>
      </c>
      <c r="D2" t="inlineStr">
        <is>
          <t>Coca-Cola Regular</t>
        </is>
      </c>
      <c r="E2" t="n">
        <v>1</v>
      </c>
      <c r="F2" t="inlineStr">
        <is>
          <t>Confirmado</t>
        </is>
      </c>
    </row>
    <row r="3">
      <c r="A3" t="n">
        <v>2</v>
      </c>
      <c r="B3" t="inlineStr">
        <is>
          <t>Simple 1 producto</t>
        </is>
      </c>
      <c r="C3" t="inlineStr">
        <is>
          <t>Cigarrillos</t>
        </is>
      </c>
      <c r="D3" t="inlineStr">
        <is>
          <t>Marlboro Box</t>
        </is>
      </c>
      <c r="E3" t="n">
        <v>1</v>
      </c>
      <c r="F3" t="inlineStr">
        <is>
          <t>Confirmado</t>
        </is>
      </c>
    </row>
    <row r="4">
      <c r="A4" t="n">
        <v>3</v>
      </c>
      <c r="B4" t="inlineStr">
        <is>
          <t>Simple 1 producto</t>
        </is>
      </c>
      <c r="C4" t="inlineStr">
        <is>
          <t>Golosinas</t>
        </is>
      </c>
      <c r="D4" t="inlineStr">
        <is>
          <t>Chocolate Aireado Milka</t>
        </is>
      </c>
      <c r="E4" t="n">
        <v>1</v>
      </c>
      <c r="F4" t="inlineStr">
        <is>
          <t>Confirmado</t>
        </is>
      </c>
    </row>
    <row r="5">
      <c r="A5" t="n">
        <v>4</v>
      </c>
      <c r="B5" t="inlineStr">
        <is>
          <t>Simple 1 producto</t>
        </is>
      </c>
      <c r="C5" t="inlineStr">
        <is>
          <t>Perfumeria e Higiene</t>
        </is>
      </c>
      <c r="D5" t="inlineStr">
        <is>
          <t>Jabon Dove</t>
        </is>
      </c>
      <c r="E5" t="n">
        <v>1</v>
      </c>
      <c r="F5" t="inlineStr">
        <is>
          <t>Confirmado</t>
        </is>
      </c>
    </row>
    <row r="6">
      <c r="A6" t="n">
        <v>5</v>
      </c>
      <c r="B6" t="inlineStr">
        <is>
          <t>Simple 1 producto</t>
        </is>
      </c>
      <c r="C6" t="inlineStr">
        <is>
          <t>Golosinas</t>
        </is>
      </c>
      <c r="D6" t="inlineStr">
        <is>
          <t>Doritos 250gr</t>
        </is>
      </c>
      <c r="E6" t="n">
        <v>1</v>
      </c>
      <c r="F6" t="inlineStr">
        <is>
          <t>Confirmado</t>
        </is>
      </c>
    </row>
    <row r="7">
      <c r="A7" t="n">
        <v>6</v>
      </c>
      <c r="B7" t="inlineStr">
        <is>
          <t>Simple 1 producto</t>
        </is>
      </c>
      <c r="C7" t="inlineStr">
        <is>
          <t>Bebidas</t>
        </is>
      </c>
      <c r="D7" t="inlineStr">
        <is>
          <t>Coca-Cola Zero</t>
        </is>
      </c>
      <c r="E7" t="n">
        <v>1</v>
      </c>
      <c r="F7" t="inlineStr">
        <is>
          <t>Confirmado</t>
        </is>
      </c>
    </row>
    <row r="8">
      <c r="A8" t="n">
        <v>7</v>
      </c>
      <c r="B8" t="inlineStr">
        <is>
          <t>Simple 1 producto</t>
        </is>
      </c>
      <c r="C8" t="inlineStr">
        <is>
          <t>Cigarrillos</t>
        </is>
      </c>
      <c r="D8" t="inlineStr">
        <is>
          <t>Phillips-Morris Convertible</t>
        </is>
      </c>
      <c r="E8" t="n">
        <v>1</v>
      </c>
      <c r="F8" t="inlineStr">
        <is>
          <t>Confirmado</t>
        </is>
      </c>
    </row>
    <row r="9">
      <c r="A9" t="n">
        <v>8</v>
      </c>
      <c r="B9" t="inlineStr">
        <is>
          <t>Simple 1 producto</t>
        </is>
      </c>
      <c r="C9" t="inlineStr">
        <is>
          <t>Golosinas</t>
        </is>
      </c>
      <c r="D9" t="inlineStr">
        <is>
          <t>Bombon Bon o Bon</t>
        </is>
      </c>
      <c r="E9" t="n">
        <v>1</v>
      </c>
      <c r="F9" t="inlineStr">
        <is>
          <t>Confirmado</t>
        </is>
      </c>
    </row>
    <row r="10">
      <c r="A10" t="n">
        <v>9</v>
      </c>
      <c r="B10" t="inlineStr">
        <is>
          <t>Simple 1 producto</t>
        </is>
      </c>
      <c r="C10" t="inlineStr">
        <is>
          <t>Perfumeria e Higiene</t>
        </is>
      </c>
      <c r="D10" t="inlineStr">
        <is>
          <t>Pasta de dientes Colgate</t>
        </is>
      </c>
      <c r="E10" t="n">
        <v>1</v>
      </c>
      <c r="F10" t="inlineStr">
        <is>
          <t>Confirmado</t>
        </is>
      </c>
    </row>
    <row r="11">
      <c r="A11" t="n">
        <v>10</v>
      </c>
      <c r="B11" t="inlineStr">
        <is>
          <t>Simple 1 producto</t>
        </is>
      </c>
      <c r="C11" t="inlineStr">
        <is>
          <t>Bebidas</t>
        </is>
      </c>
      <c r="D11" t="inlineStr">
        <is>
          <t>Pepsi Regular</t>
        </is>
      </c>
      <c r="E11" t="n">
        <v>1</v>
      </c>
      <c r="F11" t="inlineStr">
        <is>
          <t>Confirmado</t>
        </is>
      </c>
    </row>
    <row r="12">
      <c r="A12" t="n">
        <v>11</v>
      </c>
      <c r="B12" t="inlineStr">
        <is>
          <t>Simple 1 producto</t>
        </is>
      </c>
      <c r="C12" t="inlineStr">
        <is>
          <t>Bebidas</t>
        </is>
      </c>
      <c r="D12" t="inlineStr">
        <is>
          <t>Sprite Regular</t>
        </is>
      </c>
      <c r="E12" t="n">
        <v>1</v>
      </c>
      <c r="F12" t="inlineStr">
        <is>
          <t>Confirmado</t>
        </is>
      </c>
    </row>
    <row r="13">
      <c r="A13" t="n">
        <v>12</v>
      </c>
      <c r="B13" t="inlineStr">
        <is>
          <t>Simple 1 producto</t>
        </is>
      </c>
      <c r="C13" t="inlineStr">
        <is>
          <t>Golosinas</t>
        </is>
      </c>
      <c r="D13" t="inlineStr">
        <is>
          <t>Gomitas Mogul</t>
        </is>
      </c>
      <c r="E13" t="n">
        <v>1</v>
      </c>
      <c r="F13" t="inlineStr">
        <is>
          <t>Confirmado</t>
        </is>
      </c>
    </row>
    <row r="14">
      <c r="A14" t="n">
        <v>13</v>
      </c>
      <c r="B14" t="inlineStr">
        <is>
          <t>Simple 1 producto</t>
        </is>
      </c>
      <c r="C14" t="inlineStr">
        <is>
          <t>Bebidas</t>
        </is>
      </c>
      <c r="D14" t="inlineStr">
        <is>
          <t>Cerveza Quilmes</t>
        </is>
      </c>
      <c r="E14" t="n">
        <v>1</v>
      </c>
      <c r="F14" t="inlineStr">
        <is>
          <t>Confirmado</t>
        </is>
      </c>
    </row>
    <row r="15">
      <c r="A15" t="n">
        <v>14</v>
      </c>
      <c r="B15" t="inlineStr">
        <is>
          <t>Multiple (3 productos)</t>
        </is>
      </c>
      <c r="C15" t="inlineStr">
        <is>
          <t>Bebidas + Golosinas</t>
        </is>
      </c>
      <c r="D15" t="inlineStr">
        <is>
          <t>Coca-Cola Regular + Fernet Branca + Doritos 250gr</t>
        </is>
      </c>
      <c r="E15" t="inlineStr">
        <is>
          <t>1 c/u</t>
        </is>
      </c>
      <c r="F15" t="inlineStr">
        <is>
          <t>Confirmado</t>
        </is>
      </c>
    </row>
    <row r="16">
      <c r="A16" t="n">
        <v>15</v>
      </c>
      <c r="B16" t="inlineStr">
        <is>
          <t>Multiple (2 productos)</t>
        </is>
      </c>
      <c r="C16" t="inlineStr">
        <is>
          <t>Golosinas + Perfumeria</t>
        </is>
      </c>
      <c r="D16" t="inlineStr">
        <is>
          <t>Chocolate Aireado Milka + Pasta de dientes Colgate</t>
        </is>
      </c>
      <c r="E16" t="inlineStr">
        <is>
          <t>1 c/u</t>
        </is>
      </c>
      <c r="F16" t="inlineStr">
        <is>
          <t>Confirmado</t>
        </is>
      </c>
    </row>
    <row r="17">
      <c r="A17" t="n">
        <v>16</v>
      </c>
      <c r="B17" t="inlineStr">
        <is>
          <t>Multiple (2 productos)</t>
        </is>
      </c>
      <c r="C17" t="inlineStr">
        <is>
          <t>Golosinas + Lacteos</t>
        </is>
      </c>
      <c r="D17" t="inlineStr">
        <is>
          <t>Gomitas Mogul + Leche descremada LS</t>
        </is>
      </c>
      <c r="E17" t="inlineStr">
        <is>
          <t>1 c/u</t>
        </is>
      </c>
      <c r="F17" t="inlineStr">
        <is>
          <t>Confirmado</t>
        </is>
      </c>
    </row>
    <row r="18">
      <c r="A18" t="n">
        <v>17</v>
      </c>
      <c r="B18" t="inlineStr">
        <is>
          <t>Error stock insuficiente</t>
        </is>
      </c>
      <c r="C18" t="inlineStr">
        <is>
          <t>Lacteos</t>
        </is>
      </c>
      <c r="D18" t="inlineStr">
        <is>
          <t>Queso crema La Serenisima</t>
        </is>
      </c>
      <c r="E18" t="n">
        <v>3</v>
      </c>
      <c r="F18" t="inlineStr">
        <is>
          <t>Cancelado (disp. 2 &lt; 3)</t>
        </is>
      </c>
    </row>
    <row r="19">
      <c r="A19" t="n">
        <v>18</v>
      </c>
      <c r="B19" t="inlineStr">
        <is>
          <t>Error stock insuficiente</t>
        </is>
      </c>
      <c r="C19" t="inlineStr">
        <is>
          <t>Lacteos</t>
        </is>
      </c>
      <c r="D19" t="inlineStr">
        <is>
          <t>Manteca La Serenisima</t>
        </is>
      </c>
      <c r="E19" t="n">
        <v>2</v>
      </c>
      <c r="F19" t="inlineStr">
        <is>
          <t>Cancelado (disp. 1 &lt; 2)</t>
        </is>
      </c>
    </row>
    <row r="20">
      <c r="A20" t="n">
        <v>19</v>
      </c>
      <c r="B20" t="inlineStr">
        <is>
          <t>Error stock insuficiente</t>
        </is>
      </c>
      <c r="C20" t="inlineStr">
        <is>
          <t>Bebidas</t>
        </is>
      </c>
      <c r="D20" t="inlineStr">
        <is>
          <t>Sprite Regular</t>
        </is>
      </c>
      <c r="E20" t="n">
        <v>4</v>
      </c>
      <c r="F20" t="inlineStr">
        <is>
          <t>Cancelado (disp. 2 &lt; 4)</t>
        </is>
      </c>
    </row>
    <row r="21">
      <c r="A21" t="n">
        <v>20</v>
      </c>
      <c r="B21" t="inlineStr">
        <is>
          <t>Limite cantidad maxima</t>
        </is>
      </c>
      <c r="C21" t="inlineStr">
        <is>
          <t>Golosinas</t>
        </is>
      </c>
      <c r="D21" t="inlineStr">
        <is>
          <t>Doritos 250gr</t>
        </is>
      </c>
      <c r="E21" t="n">
        <v>10</v>
      </c>
      <c r="F21" t="inlineStr">
        <is>
          <t>Confirmado (disp. 38 &gt;= 10)</t>
        </is>
      </c>
    </row>
    <row r="23">
      <c r="A23" t="inlineStr">
        <is>
          <t>Nota: los 20 escenarios se ejecutan IDENTICOS y en el mismo orden en pretest y postest. Antes van 5 escenarios de warm-up (hoja Warmup), excluidos del analisis, tras los cuales se re-ejecuta seed_experimento.sql.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10" defaultColWidth="8.83203125" defaultRowHeight="15"/>
  <cols>
    <col width="5" customWidth="1" min="1" max="1"/>
    <col width="26" customWidth="1" min="2" max="2"/>
    <col width="22" customWidth="1" min="3" max="3"/>
    <col width="40" customWidth="1" min="4" max="4"/>
    <col width="10" customWidth="1" min="5" max="5"/>
    <col width="26" customWidth="1" min="6" max="6"/>
  </cols>
  <sheetData>
    <row r="1" ht="16" customHeight="1">
      <c r="A1" s="1" t="inlineStr">
        <is>
          <t>#</t>
        </is>
      </c>
      <c r="B1" s="1" t="inlineStr">
        <is>
          <t>Tipo</t>
        </is>
      </c>
      <c r="C1" s="1" t="inlineStr">
        <is>
          <t>Categoria</t>
        </is>
      </c>
      <c r="D1" s="1" t="inlineStr">
        <is>
          <t>Producto(s)</t>
        </is>
      </c>
      <c r="E1" s="1" t="inlineStr">
        <is>
          <t>Cantidad</t>
        </is>
      </c>
      <c r="F1" s="1" t="inlineStr">
        <is>
          <t>Resultado esperado</t>
        </is>
      </c>
    </row>
    <row r="2">
      <c r="A2" t="inlineStr">
        <is>
          <t>W1</t>
        </is>
      </c>
      <c r="B2" t="inlineStr">
        <is>
          <t>Simple 1 producto</t>
        </is>
      </c>
      <c r="C2" t="inlineStr">
        <is>
          <t>Bebidas</t>
        </is>
      </c>
      <c r="D2" t="inlineStr">
        <is>
          <t>Coca-Cola Regular</t>
        </is>
      </c>
      <c r="E2" t="n">
        <v>1</v>
      </c>
      <c r="F2" t="inlineStr">
        <is>
          <t>Confirmado</t>
        </is>
      </c>
    </row>
    <row r="3">
      <c r="A3" t="inlineStr">
        <is>
          <t>W2</t>
        </is>
      </c>
      <c r="B3" t="inlineStr">
        <is>
          <t>Simple 1 producto</t>
        </is>
      </c>
      <c r="C3" t="inlineStr">
        <is>
          <t>Golosinas</t>
        </is>
      </c>
      <c r="D3" t="inlineStr">
        <is>
          <t>Bombon Bon o Bon</t>
        </is>
      </c>
      <c r="E3" t="n">
        <v>2</v>
      </c>
      <c r="F3" t="inlineStr">
        <is>
          <t>Confirmado</t>
        </is>
      </c>
    </row>
    <row r="4">
      <c r="A4" t="inlineStr">
        <is>
          <t>W3</t>
        </is>
      </c>
      <c r="B4" t="inlineStr">
        <is>
          <t>Multiple</t>
        </is>
      </c>
      <c r="C4" t="inlineStr">
        <is>
          <t>Bebidas + Cigarrillos</t>
        </is>
      </c>
      <c r="D4" t="inlineStr">
        <is>
          <t>Pepsi Regular + Marlboro Box</t>
        </is>
      </c>
      <c r="E4" t="inlineStr">
        <is>
          <t>1 c/u</t>
        </is>
      </c>
      <c r="F4" t="inlineStr">
        <is>
          <t>Confirmado</t>
        </is>
      </c>
    </row>
    <row r="5">
      <c r="A5" t="inlineStr">
        <is>
          <t>W4</t>
        </is>
      </c>
      <c r="B5" t="inlineStr">
        <is>
          <t>Limite cantidad maxima</t>
        </is>
      </c>
      <c r="C5" t="inlineStr">
        <is>
          <t>Golosinas</t>
        </is>
      </c>
      <c r="D5" t="inlineStr">
        <is>
          <t>Gomitas Mogul</t>
        </is>
      </c>
      <c r="E5" t="n">
        <v>10</v>
      </c>
      <c r="F5" t="inlineStr">
        <is>
          <t>Confirmado</t>
        </is>
      </c>
    </row>
    <row r="6">
      <c r="A6" t="inlineStr">
        <is>
          <t>W5</t>
        </is>
      </c>
      <c r="B6" t="inlineStr">
        <is>
          <t>Error stock insuficiente</t>
        </is>
      </c>
      <c r="C6" t="inlineStr">
        <is>
          <t>Lacteos</t>
        </is>
      </c>
      <c r="D6" t="inlineStr">
        <is>
          <t>Manteca La Serenisima</t>
        </is>
      </c>
      <c r="E6" t="n">
        <v>5</v>
      </c>
      <c r="F6" t="inlineStr">
        <is>
          <t>Cancelado (stock 1 &lt; 5)</t>
        </is>
      </c>
    </row>
    <row r="8">
      <c r="A8" t="inlineStr">
        <is>
          <t>EXCLUIDOS del analisis. No se cronometran. Tras estos 5, re-ejecutar seed_experimento.sql.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D2" sqref="D2"/>
    </sheetView>
  </sheetViews>
  <sheetFormatPr baseColWidth="10" defaultColWidth="8.83203125" defaultRowHeight="15"/>
  <cols>
    <col width="12" customWidth="1" min="1" max="1"/>
    <col width="20" customWidth="1" min="2" max="3"/>
    <col width="10" customWidth="1" min="4" max="4"/>
    <col width="26" customWidth="1" min="5" max="5"/>
    <col width="55" bestFit="1" customWidth="1" min="6" max="6"/>
    <col width="22" customWidth="1" min="7" max="7"/>
  </cols>
  <sheetData>
    <row r="1" ht="32" customHeight="1">
      <c r="A1" s="1" t="inlineStr">
        <is>
          <t>ID escenario</t>
        </is>
      </c>
      <c r="B1" s="1" t="inlineStr">
        <is>
          <t>t_inicio (hh:mm:ss)</t>
        </is>
      </c>
      <c r="C1" s="1" t="inlineStr">
        <is>
          <t>t_fin (hh:mm:ss)</t>
        </is>
      </c>
      <c r="D1" s="1" t="inlineStr">
        <is>
          <t>TPP (s)</t>
        </is>
      </c>
      <c r="E1" s="1" t="inlineStr">
        <is>
          <t>Correccion necesaria (Si/No)</t>
        </is>
      </c>
      <c r="F1" s="1" t="inlineStr">
        <is>
          <t>Detalle de la correccion</t>
        </is>
      </c>
      <c r="G1" s="1" t="inlineStr">
        <is>
          <t>Fuente del tiempo (video/ledger)</t>
        </is>
      </c>
    </row>
    <row r="2">
      <c r="A2" t="n">
        <v>1</v>
      </c>
      <c r="B2" s="2" t="n">
        <v>0.9056828703703703</v>
      </c>
      <c r="C2" s="2" t="n">
        <v>0.9060416666666666</v>
      </c>
      <c r="D2">
        <f>IF(AND(B2&lt;&gt;"",C2&lt;&gt;""),(C2-B2)*86400,"")</f>
        <v/>
      </c>
      <c r="E2" t="inlineStr">
        <is>
          <t>No</t>
        </is>
      </c>
    </row>
    <row r="3">
      <c r="A3" t="n">
        <v>2</v>
      </c>
      <c r="B3" s="2" t="n">
        <v>0.9062152777777778</v>
      </c>
      <c r="C3" s="2" t="n">
        <v>0.9066203703703704</v>
      </c>
      <c r="D3">
        <f>IF(AND(B3&lt;&gt;"",C3&lt;&gt;""),(C3-B3)*86400,"")</f>
        <v/>
      </c>
      <c r="E3" t="inlineStr">
        <is>
          <t>No</t>
        </is>
      </c>
    </row>
    <row r="4">
      <c r="A4" t="n">
        <v>3</v>
      </c>
      <c r="B4" s="2" t="n">
        <v>0.9067013888888888</v>
      </c>
      <c r="C4" s="2" t="n">
        <v>0.9070138888888889</v>
      </c>
      <c r="D4">
        <f>IF(AND(B4&lt;&gt;"",C4&lt;&gt;""),(C4-B4)*86400,"")</f>
        <v/>
      </c>
      <c r="E4" t="inlineStr">
        <is>
          <t>No</t>
        </is>
      </c>
    </row>
    <row r="5">
      <c r="A5" t="n">
        <v>4</v>
      </c>
      <c r="B5" s="2" t="n">
        <v>0.9071180555555556</v>
      </c>
      <c r="C5" s="2" t="n">
        <v>0.9074537037037037</v>
      </c>
      <c r="D5">
        <f>IF(AND(B5&lt;&gt;"",C5&lt;&gt;""),(C5-B5)*86400,"")</f>
        <v/>
      </c>
      <c r="E5" t="inlineStr">
        <is>
          <t>No</t>
        </is>
      </c>
    </row>
    <row r="6">
      <c r="A6" t="n">
        <v>5</v>
      </c>
      <c r="B6" s="2" t="n">
        <v>0.9075347222222222</v>
      </c>
      <c r="C6" s="2" t="n">
        <v>0.9079513888888889</v>
      </c>
      <c r="D6">
        <f>IF(AND(B6&lt;&gt;"",C6&lt;&gt;""),(C6-B6)*86400,"")</f>
        <v/>
      </c>
      <c r="E6" t="inlineStr">
        <is>
          <t>Si</t>
        </is>
      </c>
      <c r="F6" t="inlineStr">
        <is>
          <t>Reste un producto aparte sin querer, lo corregí automaticamente</t>
        </is>
      </c>
    </row>
    <row r="7">
      <c r="A7" t="n">
        <v>6</v>
      </c>
      <c r="B7" s="2" t="n">
        <v>0.9081481481481481</v>
      </c>
      <c r="C7" s="2" t="n">
        <v>0.9085648148148148</v>
      </c>
      <c r="D7">
        <f>IF(AND(B7&lt;&gt;"",C7&lt;&gt;""),(C7-B7)*86400,"")</f>
        <v/>
      </c>
      <c r="E7" t="inlineStr">
        <is>
          <t>No</t>
        </is>
      </c>
    </row>
    <row r="8">
      <c r="A8" t="n">
        <v>7</v>
      </c>
      <c r="B8" s="2" t="n">
        <v>0.9086458333333334</v>
      </c>
      <c r="C8" s="2" t="n">
        <v>0.9090162037037037</v>
      </c>
      <c r="D8">
        <f>IF(AND(B8&lt;&gt;"",C8&lt;&gt;""),(C8-B8)*86400,"")</f>
        <v/>
      </c>
      <c r="E8" t="inlineStr">
        <is>
          <t>No</t>
        </is>
      </c>
    </row>
    <row r="9">
      <c r="A9" t="n">
        <v>8</v>
      </c>
      <c r="B9" s="2" t="n">
        <v>0.9090972222222222</v>
      </c>
      <c r="C9" s="2" t="n">
        <v>0.9093981481481481</v>
      </c>
      <c r="D9">
        <f>IF(AND(B9&lt;&gt;"",C9&lt;&gt;""),(C9-B9)*86400,"")</f>
        <v/>
      </c>
      <c r="E9" t="inlineStr">
        <is>
          <t>No</t>
        </is>
      </c>
    </row>
    <row r="10">
      <c r="A10" t="n">
        <v>9</v>
      </c>
      <c r="B10" s="2" t="n">
        <v>0.9094560185185185</v>
      </c>
      <c r="C10" s="2" t="n">
        <v>0.9099652777777778</v>
      </c>
      <c r="D10">
        <f>IF(AND(B10&lt;&gt;"",C10&lt;&gt;""),(C10-B10)*86400,"")</f>
        <v/>
      </c>
      <c r="E10" t="inlineStr">
        <is>
          <t>Si</t>
        </is>
      </c>
      <c r="F10" t="inlineStr">
        <is>
          <t>Error de tipeo, verificación en planilla de stock el nombre del producto</t>
        </is>
      </c>
    </row>
    <row r="11">
      <c r="A11" t="n">
        <v>10</v>
      </c>
      <c r="B11" s="2" t="n">
        <v>0.9104745370370371</v>
      </c>
      <c r="C11" s="2" t="n">
        <v>0.910787037037037</v>
      </c>
      <c r="D11">
        <f>IF(AND(B11&lt;&gt;"",C11&lt;&gt;""),(C11-B11)*86400,"")</f>
        <v/>
      </c>
      <c r="E11" t="inlineStr">
        <is>
          <t>No</t>
        </is>
      </c>
    </row>
    <row r="12">
      <c r="A12" t="n">
        <v>11</v>
      </c>
      <c r="B12" s="2" t="n">
        <v>0.9108796296296297</v>
      </c>
      <c r="C12" s="2" t="n">
        <v>0.911238425925926</v>
      </c>
      <c r="D12">
        <f>IF(AND(B12&lt;&gt;"",C12&lt;&gt;""),(C12-B12)*86400,"")</f>
        <v/>
      </c>
      <c r="E12" t="inlineStr">
        <is>
          <t>No</t>
        </is>
      </c>
    </row>
    <row r="13">
      <c r="A13" t="n">
        <v>12</v>
      </c>
      <c r="B13" s="2" t="n">
        <v>0.9113657407407407</v>
      </c>
      <c r="C13" s="2" t="n">
        <v>0.9117361111111111</v>
      </c>
      <c r="D13">
        <f>IF(AND(B13&lt;&gt;"",C13&lt;&gt;""),(C13-B13)*86400,"")</f>
        <v/>
      </c>
      <c r="E13" t="inlineStr">
        <is>
          <t>No</t>
        </is>
      </c>
    </row>
    <row r="14">
      <c r="A14" t="n">
        <v>13</v>
      </c>
      <c r="B14" s="2" t="n">
        <v>0.9118055555555555</v>
      </c>
      <c r="C14" s="2" t="n">
        <v>0.9120949074074074</v>
      </c>
      <c r="D14">
        <f>IF(AND(B14&lt;&gt;"",C14&lt;&gt;""),(C14-B14)*86400,"")</f>
        <v/>
      </c>
      <c r="E14" t="inlineStr">
        <is>
          <t>No</t>
        </is>
      </c>
    </row>
    <row r="15">
      <c r="A15" t="n">
        <v>14</v>
      </c>
      <c r="B15" s="2" t="n">
        <v>0.9121643518518519</v>
      </c>
      <c r="C15" s="2" t="n">
        <v>0.9133564814814815</v>
      </c>
      <c r="D15">
        <f>IF(AND(B15&lt;&gt;"",C15&lt;&gt;""),(C15-B15)*86400,"")</f>
        <v/>
      </c>
      <c r="E15" t="inlineStr">
        <is>
          <t>No</t>
        </is>
      </c>
    </row>
    <row r="16">
      <c r="A16" t="n">
        <v>15</v>
      </c>
      <c r="B16" s="2" t="n">
        <v>0.9135532407407407</v>
      </c>
      <c r="C16" s="2" t="n">
        <v>0.9143171296296296</v>
      </c>
      <c r="D16">
        <f>IF(AND(B16&lt;&gt;"",C16&lt;&gt;""),(C16-B16)*86400,"")</f>
        <v/>
      </c>
      <c r="E16" t="inlineStr">
        <is>
          <t>No</t>
        </is>
      </c>
    </row>
    <row r="17">
      <c r="A17" t="n">
        <v>16</v>
      </c>
      <c r="B17" s="2" t="n">
        <v>0.9144328703703704</v>
      </c>
      <c r="C17" s="2" t="n">
        <v>0.9152662037037037</v>
      </c>
      <c r="D17">
        <f>IF(AND(B17&lt;&gt;"",C17&lt;&gt;""),(C17-B17)*86400,"")</f>
        <v/>
      </c>
      <c r="E17" t="inlineStr">
        <is>
          <t>No</t>
        </is>
      </c>
    </row>
    <row r="18">
      <c r="A18" t="n">
        <v>17</v>
      </c>
      <c r="B18" s="2" t="n">
        <v>0.9153703703703704</v>
      </c>
      <c r="C18" s="2" t="n">
        <v>0.9158796296296297</v>
      </c>
      <c r="D18">
        <f>IF(AND(B18&lt;&gt;"",C18&lt;&gt;""),(C18-B18)*86400,"")</f>
        <v/>
      </c>
      <c r="E18" t="inlineStr">
        <is>
          <t>No</t>
        </is>
      </c>
    </row>
    <row r="19">
      <c r="A19" t="n">
        <v>18</v>
      </c>
      <c r="B19" s="2" t="n">
        <v>0.9159722222222222</v>
      </c>
      <c r="C19" s="2" t="n">
        <v>0.9162962962962963</v>
      </c>
      <c r="D19">
        <f>IF(AND(B19&lt;&gt;"",C19&lt;&gt;""),(C19-B19)*86400,"")</f>
        <v/>
      </c>
      <c r="E19" t="inlineStr">
        <is>
          <t>No</t>
        </is>
      </c>
    </row>
    <row r="20">
      <c r="A20" t="n">
        <v>19</v>
      </c>
      <c r="B20" s="2" t="n">
        <v>0.9163425925925925</v>
      </c>
      <c r="C20" s="2" t="n">
        <v>0.9166782407407408</v>
      </c>
      <c r="D20">
        <f>IF(AND(B20&lt;&gt;"",C20&lt;&gt;""),(C20-B20)*86400,"")</f>
        <v/>
      </c>
      <c r="E20" t="inlineStr">
        <is>
          <t>No</t>
        </is>
      </c>
    </row>
    <row r="21">
      <c r="A21" t="n">
        <v>20</v>
      </c>
      <c r="B21" s="2" t="n">
        <v>0.9168518518518518</v>
      </c>
      <c r="C21" s="2" t="n">
        <v>0.9172337962962963</v>
      </c>
      <c r="D21">
        <f>IF(AND(B21&lt;&gt;"",C21&lt;&gt;""),(C21-B21)*86400,"")</f>
        <v/>
      </c>
      <c r="E21"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tabSelected="1" workbookViewId="0">
      <pane ySplit="1" topLeftCell="A2" activePane="bottomLeft" state="frozen"/>
      <selection pane="bottomLeft" activeCell="F26" sqref="F26"/>
    </sheetView>
  </sheetViews>
  <sheetFormatPr baseColWidth="10" defaultColWidth="8.83203125" defaultRowHeight="15"/>
  <cols>
    <col width="12" customWidth="1" min="1" max="1"/>
    <col width="20" customWidth="1" min="2" max="3"/>
    <col width="10" customWidth="1" min="4" max="4"/>
    <col width="26" customWidth="1" min="5" max="5"/>
    <col width="40" customWidth="1" min="6" max="6"/>
    <col width="22" customWidth="1" min="7" max="8"/>
  </cols>
  <sheetData>
    <row r="1" ht="16" customHeight="1">
      <c r="A1" s="1" t="inlineStr">
        <is>
          <t>ID escenario</t>
        </is>
      </c>
      <c r="B1" s="1" t="inlineStr">
        <is>
          <t>t_inicio (hh:mm:ss)</t>
        </is>
      </c>
      <c r="C1" s="1" t="inlineStr">
        <is>
          <t>t_fin (hh:mm:ss)</t>
        </is>
      </c>
      <c r="D1" s="1" t="inlineStr">
        <is>
          <t>TPP (s)</t>
        </is>
      </c>
      <c r="E1" s="1" t="inlineStr">
        <is>
          <t>Correccion necesaria (Si/No)</t>
        </is>
      </c>
      <c r="F1" s="1" t="inlineStr">
        <is>
          <t>Detalle de la correccion</t>
        </is>
      </c>
      <c r="G1" s="1" t="inlineStr">
        <is>
          <t>pedido_id (tabla pedidos)</t>
        </is>
      </c>
      <c r="H1" s="1" t="inlineStr">
        <is>
          <t>n8n execution timestamp</t>
        </is>
      </c>
    </row>
    <row r="2">
      <c r="A2" t="n">
        <v>1</v>
      </c>
      <c r="B2" s="2" t="n">
        <v>0.8807060185185185</v>
      </c>
      <c r="C2" s="2" t="n">
        <v>0.8809953703703703</v>
      </c>
      <c r="D2">
        <f>IF(AND(B2&lt;&gt;"",C2&lt;&gt;""),(C2-B2)*86400,"")</f>
        <v/>
      </c>
      <c r="E2" t="inlineStr">
        <is>
          <t>No</t>
        </is>
      </c>
    </row>
    <row r="3">
      <c r="A3" t="n">
        <v>2</v>
      </c>
      <c r="B3" s="2" t="n">
        <v>0.8811111111111111</v>
      </c>
      <c r="C3" s="2" t="n">
        <v>0.8813888888888889</v>
      </c>
      <c r="D3">
        <f>IF(AND(B3&lt;&gt;"",C3&lt;&gt;""),(C3-B3)*86400,"")</f>
        <v/>
      </c>
      <c r="E3" t="inlineStr">
        <is>
          <t>No</t>
        </is>
      </c>
    </row>
    <row r="4">
      <c r="A4" t="n">
        <v>3</v>
      </c>
      <c r="B4" s="2" t="n">
        <v>0.8815277777777778</v>
      </c>
      <c r="C4" s="2" t="n">
        <v>0.8817939814814815</v>
      </c>
      <c r="D4">
        <f>IF(AND(B4&lt;&gt;"",C4&lt;&gt;""),(C4-B4)*86400,"")</f>
        <v/>
      </c>
      <c r="E4" t="inlineStr">
        <is>
          <t>No</t>
        </is>
      </c>
    </row>
    <row r="5">
      <c r="A5" t="n">
        <v>4</v>
      </c>
      <c r="B5" s="2" t="n">
        <v>0.8818981481481482</v>
      </c>
      <c r="C5" s="2" t="n">
        <v>0.8821412037037037</v>
      </c>
      <c r="D5">
        <f>IF(AND(B5&lt;&gt;"",C5&lt;&gt;""),(C5-B5)*86400,"")</f>
        <v/>
      </c>
      <c r="E5" t="inlineStr">
        <is>
          <t>No</t>
        </is>
      </c>
    </row>
    <row r="6">
      <c r="A6" t="n">
        <v>5</v>
      </c>
      <c r="B6" s="2" t="n">
        <v>0.8823032407407407</v>
      </c>
      <c r="C6" s="2" t="n">
        <v>0.8825462962962963</v>
      </c>
      <c r="D6">
        <f>IF(AND(B6&lt;&gt;"",C6&lt;&gt;""),(C6-B6)*86400,"")</f>
        <v/>
      </c>
      <c r="E6" t="inlineStr">
        <is>
          <t>No</t>
        </is>
      </c>
    </row>
    <row r="7">
      <c r="A7" t="n">
        <v>6</v>
      </c>
      <c r="B7" s="2" t="n">
        <v>0.8826736111111111</v>
      </c>
      <c r="C7" s="2" t="n">
        <v>0.8828935185185185</v>
      </c>
      <c r="D7">
        <f>IF(AND(B7&lt;&gt;"",C7&lt;&gt;""),(C7-B7)*86400,"")</f>
        <v/>
      </c>
      <c r="E7" t="inlineStr">
        <is>
          <t>No</t>
        </is>
      </c>
    </row>
    <row r="8">
      <c r="A8" t="n">
        <v>7</v>
      </c>
      <c r="B8" s="2" t="n">
        <v>0.8831018518518519</v>
      </c>
      <c r="C8" s="2" t="n">
        <v>0.8833564814814815</v>
      </c>
      <c r="D8">
        <f>IF(AND(B8&lt;&gt;"",C8&lt;&gt;""),(C8-B8)*86400,"")</f>
        <v/>
      </c>
      <c r="E8" t="inlineStr">
        <is>
          <t>No</t>
        </is>
      </c>
    </row>
    <row r="9">
      <c r="A9" t="n">
        <v>8</v>
      </c>
      <c r="B9" s="2" t="n">
        <v>0.883449074074074</v>
      </c>
      <c r="C9" s="2" t="n">
        <v>0.8838194444444445</v>
      </c>
      <c r="D9">
        <f>IF(AND(B9&lt;&gt;"",C9&lt;&gt;""),(C9-B9)*86400,"")</f>
        <v/>
      </c>
      <c r="E9" t="inlineStr">
        <is>
          <t>Si</t>
        </is>
      </c>
      <c r="F9" t="inlineStr">
        <is>
          <t>Error al seleccionar categoría, vuelvo al menú principal en télegram y cambio la elexión de categoría</t>
        </is>
      </c>
    </row>
    <row r="10">
      <c r="A10" t="n">
        <v>9</v>
      </c>
      <c r="B10" s="2" t="n">
        <v>0.8839583333333333</v>
      </c>
      <c r="C10" s="2" t="n">
        <v>0.8842245370370371</v>
      </c>
      <c r="D10">
        <f>IF(AND(B10&lt;&gt;"",C10&lt;&gt;""),(C10-B10)*86400,"")</f>
        <v/>
      </c>
      <c r="E10" t="inlineStr">
        <is>
          <t>No</t>
        </is>
      </c>
    </row>
    <row r="11">
      <c r="A11" t="n">
        <v>10</v>
      </c>
      <c r="B11" s="2" t="n">
        <v>0.8843287037037038</v>
      </c>
      <c r="C11" s="2" t="n">
        <v>0.8845717592592592</v>
      </c>
      <c r="D11">
        <f>IF(AND(B11&lt;&gt;"",C11&lt;&gt;""),(C11-B11)*86400,"")</f>
        <v/>
      </c>
      <c r="E11" t="inlineStr">
        <is>
          <t>No</t>
        </is>
      </c>
    </row>
    <row r="12">
      <c r="A12" t="n">
        <v>11</v>
      </c>
      <c r="B12" s="2" t="n">
        <v>0.8846643518518519</v>
      </c>
      <c r="C12" s="2" t="n">
        <v>0.8848611111111111</v>
      </c>
      <c r="D12">
        <f>IF(AND(B12&lt;&gt;"",C12&lt;&gt;""),(C12-B12)*86400,"")</f>
        <v/>
      </c>
      <c r="E12" t="inlineStr">
        <is>
          <t>No</t>
        </is>
      </c>
    </row>
    <row r="13">
      <c r="A13" t="n">
        <v>12</v>
      </c>
      <c r="B13" s="2" t="n">
        <v>0.8850462962962963</v>
      </c>
      <c r="C13" s="2" t="n">
        <v>0.8852662037037037</v>
      </c>
      <c r="D13">
        <f>IF(AND(B13&lt;&gt;"",C13&lt;&gt;""),(C13-B13)*86400,"")</f>
        <v/>
      </c>
      <c r="E13" t="inlineStr">
        <is>
          <t>No</t>
        </is>
      </c>
    </row>
    <row r="14">
      <c r="A14" t="n">
        <v>13</v>
      </c>
      <c r="B14" s="2" t="n">
        <v>0.8854050925925926</v>
      </c>
      <c r="C14" s="2" t="n">
        <v>0.885613425925926</v>
      </c>
      <c r="D14">
        <f>IF(AND(B14&lt;&gt;"",C14&lt;&gt;""),(C14-B14)*86400,"")</f>
        <v/>
      </c>
      <c r="E14" t="inlineStr">
        <is>
          <t>No</t>
        </is>
      </c>
    </row>
    <row r="15">
      <c r="A15" t="n">
        <v>14</v>
      </c>
      <c r="B15" s="2" t="n">
        <v>0.8867476851851852</v>
      </c>
      <c r="C15" s="2" t="n">
        <v>0.8874189814814815</v>
      </c>
      <c r="D15">
        <f>IF(AND(B15&lt;&gt;"",C15&lt;&gt;""),(C15-B15)*86400,"")</f>
        <v/>
      </c>
      <c r="E15" t="inlineStr">
        <is>
          <t>Si</t>
        </is>
      </c>
      <c r="F15" t="inlineStr">
        <is>
          <t>Error al cargar cantidad de productos, se cancela pedido para no restar stock y se vuelve a simular el escenario</t>
        </is>
      </c>
    </row>
    <row r="16">
      <c r="A16" t="n">
        <v>15</v>
      </c>
      <c r="B16" s="2" t="n">
        <v>0.8875462962962963</v>
      </c>
      <c r="C16" s="2" t="n">
        <v>0.8880902777777778</v>
      </c>
      <c r="D16">
        <f>IF(AND(B16&lt;&gt;"",C16&lt;&gt;""),(C16-B16)*86400,"")</f>
        <v/>
      </c>
      <c r="E16" t="inlineStr">
        <is>
          <t>No</t>
        </is>
      </c>
    </row>
    <row r="17">
      <c r="A17" t="n">
        <v>16</v>
      </c>
      <c r="B17" s="2" t="n">
        <v>0.8882407407407408</v>
      </c>
      <c r="C17" s="2" t="n">
        <v>0.8886805555555556</v>
      </c>
      <c r="D17">
        <f>IF(AND(B17&lt;&gt;"",C17&lt;&gt;""),(C17-B17)*86400,"")</f>
        <v/>
      </c>
      <c r="E17" t="inlineStr">
        <is>
          <t>No</t>
        </is>
      </c>
    </row>
    <row r="18">
      <c r="A18" t="n">
        <v>17</v>
      </c>
      <c r="B18" s="2" t="n">
        <v>0.8888078703703703</v>
      </c>
      <c r="C18" s="2" t="n">
        <v>0.8890625</v>
      </c>
      <c r="D18">
        <f>IF(AND(B18&lt;&gt;"",C18&lt;&gt;""),(C18-B18)*86400,"")</f>
        <v/>
      </c>
      <c r="E18" t="inlineStr">
        <is>
          <t>No</t>
        </is>
      </c>
    </row>
    <row r="19">
      <c r="A19" t="n">
        <v>18</v>
      </c>
      <c r="B19" s="2" t="n">
        <v>0.8892129629629629</v>
      </c>
      <c r="C19" s="2" t="n">
        <v>0.8894444444444445</v>
      </c>
      <c r="D19">
        <f>IF(AND(B19&lt;&gt;"",C19&lt;&gt;""),(C19-B19)*86400,"")</f>
        <v/>
      </c>
      <c r="E19" t="inlineStr">
        <is>
          <t>No</t>
        </is>
      </c>
    </row>
    <row r="20">
      <c r="A20" t="n">
        <v>19</v>
      </c>
      <c r="B20" s="2" t="n">
        <v>0.8896064814814815</v>
      </c>
      <c r="C20" s="2" t="n">
        <v>0.8898495370370371</v>
      </c>
      <c r="D20">
        <f>IF(AND(B20&lt;&gt;"",C20&lt;&gt;""),(C20-B20)*86400,"")</f>
        <v/>
      </c>
      <c r="E20" t="inlineStr">
        <is>
          <t>No</t>
        </is>
      </c>
    </row>
    <row r="21">
      <c r="A21" t="n">
        <v>20</v>
      </c>
      <c r="B21" s="2" t="n">
        <v>0.8899537037037037</v>
      </c>
      <c r="C21" s="2" t="n">
        <v>0.8901967592592592</v>
      </c>
      <c r="D21">
        <f>IF(AND(B21&lt;&gt;"",C21&lt;&gt;""),(C21-B21)*86400,"")</f>
        <v/>
      </c>
      <c r="E21"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10" defaultColWidth="8.83203125" defaultRowHeight="15"/>
  <cols>
    <col width="30" customWidth="1" min="1" max="1"/>
    <col width="12" customWidth="1" min="2" max="2"/>
    <col width="14" customWidth="1" min="3" max="3"/>
    <col width="30" customWidth="1" min="4" max="4"/>
    <col width="20" customWidth="1" min="5" max="5"/>
    <col width="30" customWidth="1" min="6" max="6"/>
    <col width="16" customWidth="1" min="7" max="7"/>
  </cols>
  <sheetData>
    <row r="1" ht="16" customHeight="1">
      <c r="A1" s="1" t="inlineStr">
        <is>
          <t>Producto</t>
        </is>
      </c>
      <c r="B1" s="1" t="inlineStr">
        <is>
          <t>Condicion</t>
        </is>
      </c>
      <c r="C1" s="1" t="inlineStr">
        <is>
          <t>Stock inicial</t>
        </is>
      </c>
      <c r="D1" s="1" t="inlineStr">
        <is>
          <t>Consumo esperado (escenarios OK)</t>
        </is>
      </c>
      <c r="E1" s="1" t="inlineStr">
        <is>
          <t>Stock fisico esperado</t>
        </is>
      </c>
      <c r="F1" s="1" t="inlineStr">
        <is>
          <t>Stock registrado (ledger/sistema)</t>
        </is>
      </c>
      <c r="G1" s="1" t="inlineStr">
        <is>
          <t>Coincide (Si/No)</t>
        </is>
      </c>
    </row>
    <row r="2">
      <c r="A2" t="inlineStr">
        <is>
          <t>Coca-Cola Regular</t>
        </is>
      </c>
      <c r="B2" t="inlineStr">
        <is>
          <t>Pretest</t>
        </is>
      </c>
      <c r="C2" t="n">
        <v>25</v>
      </c>
      <c r="D2" t="n">
        <v>2</v>
      </c>
      <c r="E2" t="n">
        <v>23</v>
      </c>
      <c r="F2" t="n">
        <v>23</v>
      </c>
      <c r="G2">
        <f>IF(AND(E2&lt;&gt;"",F2&lt;&gt;""),IF(E2=F2,"Si","No"),"")</f>
        <v/>
      </c>
    </row>
    <row r="3">
      <c r="A3" t="inlineStr">
        <is>
          <t>Coca-Cola Zero</t>
        </is>
      </c>
      <c r="B3" t="inlineStr">
        <is>
          <t>Pretest</t>
        </is>
      </c>
      <c r="C3" t="n">
        <v>50</v>
      </c>
      <c r="D3" t="n">
        <v>1</v>
      </c>
      <c r="E3" t="n">
        <v>49</v>
      </c>
      <c r="F3" t="n">
        <v>49</v>
      </c>
      <c r="G3">
        <f>IF(AND(E3&lt;&gt;"",F3&lt;&gt;""),IF(E3=F3,"Si","No"),"")</f>
        <v/>
      </c>
    </row>
    <row r="4">
      <c r="A4" t="inlineStr">
        <is>
          <t>Pepsi Regular</t>
        </is>
      </c>
      <c r="B4" t="inlineStr">
        <is>
          <t>Pretest</t>
        </is>
      </c>
      <c r="C4" t="n">
        <v>12</v>
      </c>
      <c r="D4" t="n">
        <v>1</v>
      </c>
      <c r="E4" t="n">
        <v>11</v>
      </c>
      <c r="F4" t="n">
        <v>11</v>
      </c>
      <c r="G4">
        <f>IF(AND(E4&lt;&gt;"",F4&lt;&gt;""),IF(E4=F4,"Si","No"),"")</f>
        <v/>
      </c>
    </row>
    <row r="5">
      <c r="A5" t="inlineStr">
        <is>
          <t>Sprite Regular</t>
        </is>
      </c>
      <c r="B5" t="inlineStr">
        <is>
          <t>Pretest</t>
        </is>
      </c>
      <c r="C5" t="n">
        <v>3</v>
      </c>
      <c r="D5" t="n">
        <v>1</v>
      </c>
      <c r="E5" t="n">
        <v>2</v>
      </c>
      <c r="F5" t="n">
        <v>2</v>
      </c>
      <c r="G5">
        <f>IF(AND(E5&lt;&gt;"",F5&lt;&gt;""),IF(E5=F5,"Si","No"),"")</f>
        <v/>
      </c>
    </row>
    <row r="6">
      <c r="A6" t="inlineStr">
        <is>
          <t>Cerveza Quilmes</t>
        </is>
      </c>
      <c r="B6" t="inlineStr">
        <is>
          <t>Pretest</t>
        </is>
      </c>
      <c r="C6" t="n">
        <v>21</v>
      </c>
      <c r="D6" t="n">
        <v>1</v>
      </c>
      <c r="E6" t="n">
        <v>20</v>
      </c>
      <c r="F6" t="n">
        <v>20</v>
      </c>
      <c r="G6">
        <f>IF(AND(E6&lt;&gt;"",F6&lt;&gt;""),IF(E6=F6,"Si","No"),"")</f>
        <v/>
      </c>
    </row>
    <row r="7">
      <c r="A7" t="inlineStr">
        <is>
          <t>Fernet Branca</t>
        </is>
      </c>
      <c r="B7" t="inlineStr">
        <is>
          <t>Pretest</t>
        </is>
      </c>
      <c r="C7" t="n">
        <v>12</v>
      </c>
      <c r="D7" t="n">
        <v>1</v>
      </c>
      <c r="E7" t="n">
        <v>11</v>
      </c>
      <c r="F7" t="n">
        <v>11</v>
      </c>
      <c r="G7">
        <f>IF(AND(E7&lt;&gt;"",F7&lt;&gt;""),IF(E7=F7,"Si","No"),"")</f>
        <v/>
      </c>
    </row>
    <row r="8">
      <c r="A8" t="inlineStr">
        <is>
          <t>Marlboro Box</t>
        </is>
      </c>
      <c r="B8" t="inlineStr">
        <is>
          <t>Pretest</t>
        </is>
      </c>
      <c r="C8" t="n">
        <v>30</v>
      </c>
      <c r="D8" t="n">
        <v>1</v>
      </c>
      <c r="E8" t="n">
        <v>29</v>
      </c>
      <c r="F8" t="n">
        <v>29</v>
      </c>
      <c r="G8">
        <f>IF(AND(E8&lt;&gt;"",F8&lt;&gt;""),IF(E8=F8,"Si","No"),"")</f>
        <v/>
      </c>
    </row>
    <row r="9">
      <c r="A9" t="inlineStr">
        <is>
          <t>Phillips-Morris Convertible</t>
        </is>
      </c>
      <c r="B9" t="inlineStr">
        <is>
          <t>Pretest</t>
        </is>
      </c>
      <c r="C9" t="n">
        <v>23</v>
      </c>
      <c r="D9" t="n">
        <v>1</v>
      </c>
      <c r="E9" t="n">
        <v>22</v>
      </c>
      <c r="F9" t="n">
        <v>22</v>
      </c>
      <c r="G9">
        <f>IF(AND(E9&lt;&gt;"",F9&lt;&gt;""),IF(E9=F9,"Si","No"),"")</f>
        <v/>
      </c>
    </row>
    <row r="10">
      <c r="A10" t="inlineStr">
        <is>
          <t>Chocolate Aireado Milka</t>
        </is>
      </c>
      <c r="B10" t="inlineStr">
        <is>
          <t>Pretest</t>
        </is>
      </c>
      <c r="C10" t="n">
        <v>22</v>
      </c>
      <c r="D10" t="n">
        <v>2</v>
      </c>
      <c r="E10" t="n">
        <v>20</v>
      </c>
      <c r="F10" t="n">
        <v>20</v>
      </c>
      <c r="G10">
        <f>IF(AND(E10&lt;&gt;"",F10&lt;&gt;""),IF(E10=F10,"Si","No"),"")</f>
        <v/>
      </c>
    </row>
    <row r="11">
      <c r="A11" t="inlineStr">
        <is>
          <t>Doritos 250gr</t>
        </is>
      </c>
      <c r="B11" t="inlineStr">
        <is>
          <t>Pretest</t>
        </is>
      </c>
      <c r="C11" t="n">
        <v>40</v>
      </c>
      <c r="D11" t="n">
        <v>12</v>
      </c>
      <c r="E11" t="n">
        <v>28</v>
      </c>
      <c r="F11" t="n">
        <v>28</v>
      </c>
      <c r="G11">
        <f>IF(AND(E11&lt;&gt;"",F11&lt;&gt;""),IF(E11=F11,"Si","No"),"")</f>
        <v/>
      </c>
    </row>
    <row r="12">
      <c r="A12" t="inlineStr">
        <is>
          <t>Bombon Bon o Bon</t>
        </is>
      </c>
      <c r="B12" t="inlineStr">
        <is>
          <t>Pretest</t>
        </is>
      </c>
      <c r="C12" t="n">
        <v>45</v>
      </c>
      <c r="D12" t="n">
        <v>1</v>
      </c>
      <c r="E12" t="n">
        <v>44</v>
      </c>
      <c r="F12" t="n">
        <v>44</v>
      </c>
      <c r="G12">
        <f>IF(AND(E12&lt;&gt;"",F12&lt;&gt;""),IF(E12=F12,"Si","No"),"")</f>
        <v/>
      </c>
    </row>
    <row r="13">
      <c r="A13" t="inlineStr">
        <is>
          <t>Gomitas Mogul</t>
        </is>
      </c>
      <c r="B13" t="inlineStr">
        <is>
          <t>Pretest</t>
        </is>
      </c>
      <c r="C13" t="n">
        <v>10</v>
      </c>
      <c r="D13" t="n">
        <v>2</v>
      </c>
      <c r="E13" t="n">
        <v>8</v>
      </c>
      <c r="F13" t="n">
        <v>8</v>
      </c>
      <c r="G13">
        <f>IF(AND(E13&lt;&gt;"",F13&lt;&gt;""),IF(E13=F13,"Si","No"),"")</f>
        <v/>
      </c>
    </row>
    <row r="14">
      <c r="A14" t="inlineStr">
        <is>
          <t>Jabon Dove</t>
        </is>
      </c>
      <c r="B14" t="inlineStr">
        <is>
          <t>Pretest</t>
        </is>
      </c>
      <c r="C14" t="n">
        <v>15</v>
      </c>
      <c r="D14" t="n">
        <v>1</v>
      </c>
      <c r="E14" t="n">
        <v>14</v>
      </c>
      <c r="F14" t="n">
        <v>14</v>
      </c>
      <c r="G14">
        <f>IF(AND(E14&lt;&gt;"",F14&lt;&gt;""),IF(E14=F14,"Si","No"),"")</f>
        <v/>
      </c>
    </row>
    <row r="15">
      <c r="A15" t="inlineStr">
        <is>
          <t>Pasta de dientes Colgate</t>
        </is>
      </c>
      <c r="B15" t="inlineStr">
        <is>
          <t>Pretest</t>
        </is>
      </c>
      <c r="C15" t="n">
        <v>47</v>
      </c>
      <c r="D15" t="n">
        <v>2</v>
      </c>
      <c r="E15" t="n">
        <v>45</v>
      </c>
      <c r="F15" t="n">
        <v>45</v>
      </c>
      <c r="G15">
        <f>IF(AND(E15&lt;&gt;"",F15&lt;&gt;""),IF(E15=F15,"Si","No"),"")</f>
        <v/>
      </c>
    </row>
    <row r="16">
      <c r="A16" t="inlineStr">
        <is>
          <t>Queso crema La Serenisima</t>
        </is>
      </c>
      <c r="B16" t="inlineStr">
        <is>
          <t>Pretest</t>
        </is>
      </c>
      <c r="C16" t="n">
        <v>2</v>
      </c>
      <c r="D16" t="n">
        <v>0</v>
      </c>
      <c r="E16" t="n">
        <v>2</v>
      </c>
      <c r="F16" t="n">
        <v>2</v>
      </c>
      <c r="G16">
        <f>IF(AND(E16&lt;&gt;"",F16&lt;&gt;""),IF(E16=F16,"Si","No"),"")</f>
        <v/>
      </c>
    </row>
    <row r="17">
      <c r="A17" t="inlineStr">
        <is>
          <t>Manteca La Serenisima</t>
        </is>
      </c>
      <c r="B17" t="inlineStr">
        <is>
          <t>Pretest</t>
        </is>
      </c>
      <c r="C17" t="n">
        <v>1</v>
      </c>
      <c r="D17" t="n">
        <v>0</v>
      </c>
      <c r="E17" t="n">
        <v>1</v>
      </c>
      <c r="F17" t="n">
        <v>1</v>
      </c>
      <c r="G17">
        <f>IF(AND(E17&lt;&gt;"",F17&lt;&gt;""),IF(E17=F17,"Si","No"),"")</f>
        <v/>
      </c>
    </row>
    <row r="18">
      <c r="A18" t="inlineStr">
        <is>
          <t>Leche descremada LS</t>
        </is>
      </c>
      <c r="B18" t="inlineStr">
        <is>
          <t>Pretest</t>
        </is>
      </c>
      <c r="C18" t="n">
        <v>28</v>
      </c>
      <c r="D18" t="n">
        <v>1</v>
      </c>
      <c r="E18" t="n">
        <v>27</v>
      </c>
      <c r="F18" t="n">
        <v>27</v>
      </c>
      <c r="G18">
        <f>IF(AND(E18&lt;&gt;"",F18&lt;&gt;""),IF(E18=F18,"Si","No"),"")</f>
        <v/>
      </c>
    </row>
    <row r="20">
      <c r="A20" t="inlineStr">
        <is>
          <t>Coca-Cola Regular</t>
        </is>
      </c>
      <c r="B20" t="inlineStr">
        <is>
          <t>Postest</t>
        </is>
      </c>
      <c r="C20" t="n">
        <v>25</v>
      </c>
      <c r="D20" t="n">
        <v>2</v>
      </c>
      <c r="E20" t="n">
        <v>23</v>
      </c>
      <c r="F20" t="n">
        <v>23</v>
      </c>
      <c r="G20">
        <f>IF(AND(E20&lt;&gt;"",F20&lt;&gt;""),IF(E20=F20,"Si","No"),"")</f>
        <v/>
      </c>
    </row>
    <row r="21">
      <c r="A21" t="inlineStr">
        <is>
          <t>Coca-Cola Zero</t>
        </is>
      </c>
      <c r="B21" t="inlineStr">
        <is>
          <t>Postest</t>
        </is>
      </c>
      <c r="C21" t="n">
        <v>50</v>
      </c>
      <c r="D21" t="n">
        <v>1</v>
      </c>
      <c r="E21" t="n">
        <v>49</v>
      </c>
      <c r="F21" t="n">
        <v>49</v>
      </c>
      <c r="G21">
        <f>IF(AND(E21&lt;&gt;"",F21&lt;&gt;""),IF(E21=F21,"Si","No"),"")</f>
        <v/>
      </c>
    </row>
    <row r="22">
      <c r="A22" t="inlineStr">
        <is>
          <t>Pepsi Regular</t>
        </is>
      </c>
      <c r="B22" t="inlineStr">
        <is>
          <t>Postest</t>
        </is>
      </c>
      <c r="C22" t="n">
        <v>12</v>
      </c>
      <c r="D22" t="n">
        <v>1</v>
      </c>
      <c r="E22" t="n">
        <v>11</v>
      </c>
      <c r="F22" t="n">
        <v>11</v>
      </c>
      <c r="G22">
        <f>IF(AND(E22&lt;&gt;"",F22&lt;&gt;""),IF(E22=F22,"Si","No"),"")</f>
        <v/>
      </c>
    </row>
    <row r="23">
      <c r="A23" t="inlineStr">
        <is>
          <t>Sprite Regular</t>
        </is>
      </c>
      <c r="B23" t="inlineStr">
        <is>
          <t>Postest</t>
        </is>
      </c>
      <c r="C23" t="n">
        <v>3</v>
      </c>
      <c r="D23" t="n">
        <v>1</v>
      </c>
      <c r="E23" t="n">
        <v>2</v>
      </c>
      <c r="F23" t="n">
        <v>2</v>
      </c>
      <c r="G23">
        <f>IF(AND(E23&lt;&gt;"",F23&lt;&gt;""),IF(E23=F23,"Si","No"),"")</f>
        <v/>
      </c>
    </row>
    <row r="24">
      <c r="A24" t="inlineStr">
        <is>
          <t>Cerveza Quilmes</t>
        </is>
      </c>
      <c r="B24" t="inlineStr">
        <is>
          <t>Postest</t>
        </is>
      </c>
      <c r="C24" t="n">
        <v>21</v>
      </c>
      <c r="D24" t="n">
        <v>1</v>
      </c>
      <c r="E24" t="n">
        <v>20</v>
      </c>
      <c r="F24" t="n">
        <v>20</v>
      </c>
      <c r="G24">
        <f>IF(AND(E24&lt;&gt;"",F24&lt;&gt;""),IF(E24=F24,"Si","No"),"")</f>
        <v/>
      </c>
    </row>
    <row r="25">
      <c r="A25" t="inlineStr">
        <is>
          <t>Fernet Branca</t>
        </is>
      </c>
      <c r="B25" t="inlineStr">
        <is>
          <t>Postest</t>
        </is>
      </c>
      <c r="C25" t="n">
        <v>12</v>
      </c>
      <c r="D25" t="n">
        <v>1</v>
      </c>
      <c r="E25" t="n">
        <v>11</v>
      </c>
      <c r="F25" t="n">
        <v>11</v>
      </c>
      <c r="G25">
        <f>IF(AND(E25&lt;&gt;"",F25&lt;&gt;""),IF(E25=F25,"Si","No"),"")</f>
        <v/>
      </c>
    </row>
    <row r="26">
      <c r="A26" t="inlineStr">
        <is>
          <t>Marlboro Box</t>
        </is>
      </c>
      <c r="B26" t="inlineStr">
        <is>
          <t>Postest</t>
        </is>
      </c>
      <c r="C26" t="n">
        <v>30</v>
      </c>
      <c r="D26" t="n">
        <v>1</v>
      </c>
      <c r="E26" t="n">
        <v>29</v>
      </c>
      <c r="F26" t="n">
        <v>29</v>
      </c>
      <c r="G26">
        <f>IF(AND(E26&lt;&gt;"",F26&lt;&gt;""),IF(E26=F26,"Si","No"),"")</f>
        <v/>
      </c>
    </row>
    <row r="27">
      <c r="A27" t="inlineStr">
        <is>
          <t>Phillips-Morris Convertible</t>
        </is>
      </c>
      <c r="B27" t="inlineStr">
        <is>
          <t>Postest</t>
        </is>
      </c>
      <c r="C27" t="n">
        <v>23</v>
      </c>
      <c r="D27" t="n">
        <v>1</v>
      </c>
      <c r="E27" t="n">
        <v>22</v>
      </c>
      <c r="F27" t="n">
        <v>22</v>
      </c>
      <c r="G27">
        <f>IF(AND(E27&lt;&gt;"",F27&lt;&gt;""),IF(E27=F27,"Si","No"),"")</f>
        <v/>
      </c>
    </row>
    <row r="28">
      <c r="A28" t="inlineStr">
        <is>
          <t>Chocolate Aireado Milka</t>
        </is>
      </c>
      <c r="B28" t="inlineStr">
        <is>
          <t>Postest</t>
        </is>
      </c>
      <c r="C28" t="n">
        <v>22</v>
      </c>
      <c r="D28" t="n">
        <v>2</v>
      </c>
      <c r="E28" t="n">
        <v>20</v>
      </c>
      <c r="F28" t="n">
        <v>20</v>
      </c>
      <c r="G28">
        <f>IF(AND(E28&lt;&gt;"",F28&lt;&gt;""),IF(E28=F28,"Si","No"),"")</f>
        <v/>
      </c>
    </row>
    <row r="29">
      <c r="A29" t="inlineStr">
        <is>
          <t>Doritos 250gr</t>
        </is>
      </c>
      <c r="B29" t="inlineStr">
        <is>
          <t>Postest</t>
        </is>
      </c>
      <c r="C29" t="n">
        <v>40</v>
      </c>
      <c r="D29" t="n">
        <v>12</v>
      </c>
      <c r="E29" t="n">
        <v>28</v>
      </c>
      <c r="F29" t="n">
        <v>28</v>
      </c>
      <c r="G29">
        <f>IF(AND(E29&lt;&gt;"",F29&lt;&gt;""),IF(E29=F29,"Si","No"),"")</f>
        <v/>
      </c>
    </row>
    <row r="30">
      <c r="A30" t="inlineStr">
        <is>
          <t>Bombon Bon o Bon</t>
        </is>
      </c>
      <c r="B30" t="inlineStr">
        <is>
          <t>Postest</t>
        </is>
      </c>
      <c r="C30" t="n">
        <v>45</v>
      </c>
      <c r="D30" t="n">
        <v>1</v>
      </c>
      <c r="E30" t="n">
        <v>44</v>
      </c>
      <c r="F30" t="n">
        <v>44</v>
      </c>
      <c r="G30">
        <f>IF(AND(E30&lt;&gt;"",F30&lt;&gt;""),IF(E30=F30,"Si","No"),"")</f>
        <v/>
      </c>
    </row>
    <row r="31">
      <c r="A31" t="inlineStr">
        <is>
          <t>Gomitas Mogul</t>
        </is>
      </c>
      <c r="B31" t="inlineStr">
        <is>
          <t>Postest</t>
        </is>
      </c>
      <c r="C31" t="n">
        <v>10</v>
      </c>
      <c r="D31" t="n">
        <v>2</v>
      </c>
      <c r="E31" t="n">
        <v>8</v>
      </c>
      <c r="F31" t="n">
        <v>8</v>
      </c>
      <c r="G31">
        <f>IF(AND(E31&lt;&gt;"",F31&lt;&gt;""),IF(E31=F31,"Si","No"),"")</f>
        <v/>
      </c>
    </row>
    <row r="32">
      <c r="A32" t="inlineStr">
        <is>
          <t>Jabon Dove</t>
        </is>
      </c>
      <c r="B32" t="inlineStr">
        <is>
          <t>Postest</t>
        </is>
      </c>
      <c r="C32" t="n">
        <v>15</v>
      </c>
      <c r="D32" t="n">
        <v>1</v>
      </c>
      <c r="E32" t="n">
        <v>14</v>
      </c>
      <c r="F32" t="n">
        <v>14</v>
      </c>
      <c r="G32">
        <f>IF(AND(E32&lt;&gt;"",F32&lt;&gt;""),IF(E32=F32,"Si","No"),"")</f>
        <v/>
      </c>
    </row>
    <row r="33">
      <c r="A33" t="inlineStr">
        <is>
          <t>Pasta de dientes Colgate</t>
        </is>
      </c>
      <c r="B33" t="inlineStr">
        <is>
          <t>Postest</t>
        </is>
      </c>
      <c r="C33" t="n">
        <v>47</v>
      </c>
      <c r="D33" t="n">
        <v>2</v>
      </c>
      <c r="E33" t="n">
        <v>45</v>
      </c>
      <c r="F33" t="n">
        <v>45</v>
      </c>
      <c r="G33">
        <f>IF(AND(E33&lt;&gt;"",F33&lt;&gt;""),IF(E33=F33,"Si","No"),"")</f>
        <v/>
      </c>
    </row>
    <row r="34">
      <c r="A34" t="inlineStr">
        <is>
          <t>Queso crema La Serenisima</t>
        </is>
      </c>
      <c r="B34" t="inlineStr">
        <is>
          <t>Postest</t>
        </is>
      </c>
      <c r="C34" t="n">
        <v>2</v>
      </c>
      <c r="D34" t="n">
        <v>0</v>
      </c>
      <c r="E34" t="n">
        <v>2</v>
      </c>
      <c r="F34" t="n">
        <v>2</v>
      </c>
      <c r="G34">
        <f>IF(AND(E34&lt;&gt;"",F34&lt;&gt;""),IF(E34=F34,"Si","No"),"")</f>
        <v/>
      </c>
    </row>
    <row r="35">
      <c r="A35" t="inlineStr">
        <is>
          <t>Manteca La Serenisima</t>
        </is>
      </c>
      <c r="B35" t="inlineStr">
        <is>
          <t>Postest</t>
        </is>
      </c>
      <c r="C35" t="n">
        <v>1</v>
      </c>
      <c r="D35" t="n">
        <v>0</v>
      </c>
      <c r="E35" t="n">
        <v>1</v>
      </c>
      <c r="F35" t="n">
        <v>1</v>
      </c>
      <c r="G35">
        <f>IF(AND(E35&lt;&gt;"",F35&lt;&gt;""),IF(E35=F35,"Si","No"),"")</f>
        <v/>
      </c>
    </row>
    <row r="36">
      <c r="A36" t="inlineStr">
        <is>
          <t>Leche descremada LS</t>
        </is>
      </c>
      <c r="B36" t="inlineStr">
        <is>
          <t>Postest</t>
        </is>
      </c>
      <c r="C36" t="n">
        <v>28</v>
      </c>
      <c r="D36" t="n">
        <v>1</v>
      </c>
      <c r="E36" t="n">
        <v>27</v>
      </c>
      <c r="F36" t="n">
        <v>27</v>
      </c>
      <c r="G36">
        <f>IF(AND(E36&lt;&gt;"",F36&lt;&gt;""),IF(E36=F36,"Si","No"),"")</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pane ySplit="1" topLeftCell="A3" activePane="bottomLeft" state="frozen"/>
      <selection pane="bottomLeft" activeCell="B16" sqref="B16"/>
    </sheetView>
  </sheetViews>
  <sheetFormatPr baseColWidth="10" defaultColWidth="8.83203125" defaultRowHeight="15"/>
  <cols>
    <col width="40" customWidth="1" min="1" max="1"/>
    <col width="60" customWidth="1" min="2" max="2"/>
  </cols>
  <sheetData>
    <row r="1" ht="16" customHeight="1">
      <c r="A1" s="1" t="inlineStr">
        <is>
          <t>Campo</t>
        </is>
      </c>
      <c r="B1" s="1" t="inlineStr">
        <is>
          <t>Valor</t>
        </is>
      </c>
    </row>
    <row r="2">
      <c r="A2" t="inlineStr">
        <is>
          <t>fecha_pretest (AAAA-MM-DD)</t>
        </is>
      </c>
      <c r="B2" s="3" t="n">
        <v>46275</v>
      </c>
    </row>
    <row r="3">
      <c r="A3" t="inlineStr">
        <is>
          <t>hora_inicio_pretest</t>
        </is>
      </c>
      <c r="B3" s="2" t="n">
        <v>0.9056828703703703</v>
      </c>
    </row>
    <row r="4">
      <c r="A4" t="inlineStr">
        <is>
          <t>hora_fin_pretest</t>
        </is>
      </c>
      <c r="B4" s="2" t="n">
        <v>0.9172337962962963</v>
      </c>
    </row>
    <row r="5">
      <c r="A5" t="inlineStr">
        <is>
          <t>fecha_postest (AAAA-MM-DD)</t>
        </is>
      </c>
      <c r="B5" s="4" t="n">
        <v>46277</v>
      </c>
    </row>
    <row r="6">
      <c r="A6" t="inlineStr">
        <is>
          <t>hora_inicio_postest</t>
        </is>
      </c>
      <c r="B6" s="2" t="n">
        <v>0.8807060185185185</v>
      </c>
    </row>
    <row r="7">
      <c r="A7" t="inlineStr">
        <is>
          <t>hora_fin_postest</t>
        </is>
      </c>
      <c r="B7" s="2" t="n">
        <v>0.8901967592592592</v>
      </c>
    </row>
    <row r="8">
      <c r="A8" t="inlineStr">
        <is>
          <t>intervalo real entre condiciones</t>
        </is>
      </c>
      <c r="B8" t="inlineStr">
        <is>
          <t>1 dias, 23h 7m 24s (de fin de pretest a inicio de postest)</t>
        </is>
      </c>
    </row>
    <row r="9">
      <c r="A9" t="inlineStr">
        <is>
          <t>operador 1</t>
        </is>
      </c>
      <c r="B9" t="inlineStr">
        <is>
          <t>Juan Ignacio Juarez</t>
        </is>
      </c>
    </row>
    <row r="10">
      <c r="A10" t="inlineStr">
        <is>
          <t>operador 2</t>
        </is>
      </c>
      <c r="B10" t="inlineStr">
        <is>
          <t>-</t>
        </is>
      </c>
    </row>
    <row r="11">
      <c r="A11" t="inlineStr">
        <is>
          <t>commit del repo al momento de correr</t>
        </is>
      </c>
      <c r="B11" t="inlineStr">
        <is>
          <t>Working tree local no commiteado en el momento de la corrida (no corresponde a un commit del historial); los cambios se consolidaron despues en el commit 97ce027 del repositorio: PedidoService.java (idempotencia + transicion atomica en cambiarEstado), PedidoRepository.java (marcarComoConfirmadoSiNoLoEstaba), PedidoFlowTest.java (test de regresion), docs/analisis/compute_stats.py (recalculo desde los rangos reales)</t>
        </is>
      </c>
    </row>
    <row r="12">
      <c r="A12" t="inlineStr">
        <is>
          <t>version backend (Spring Boot)</t>
        </is>
      </c>
      <c r="B12" t="inlineStr">
        <is>
          <t>4.0.5 (Spring Boot), Java runtime segun mvnw (Corretto 24 / Temurin 17)</t>
        </is>
      </c>
    </row>
    <row r="13">
      <c r="A13" t="inlineStr">
        <is>
          <t>version n8n</t>
        </is>
      </c>
      <c r="B13" t="inlineStr">
        <is>
          <t>2.35.7</t>
        </is>
      </c>
    </row>
    <row r="14">
      <c r="A14" t="inlineStr">
        <is>
          <t>version ngrok / dominio</t>
        </is>
      </c>
      <c r="B14" t="inlineStr">
        <is>
          <t>gianni-astigmic-semiconventionally.ngrok-free.dev (dominio fijo)</t>
        </is>
      </c>
    </row>
    <row r="15">
      <c r="A15" t="inlineStr">
        <is>
          <t>archivo de video - pretest</t>
        </is>
      </c>
      <c r="B15" t="inlineStr">
        <is>
          <t>video_pretest.mov</t>
        </is>
      </c>
    </row>
    <row r="16">
      <c r="A16" t="inlineStr">
        <is>
          <t>archivo de video - postest</t>
        </is>
      </c>
      <c r="B16" t="inlineStr">
        <is>
          <t>video_postest.mov</t>
        </is>
      </c>
    </row>
    <row r="17">
      <c r="A17" t="inlineStr">
        <is>
          <t>enlace publico a los videos (Drive)</t>
        </is>
      </c>
      <c r="B17" t="inlineStr">
        <is>
          <t>https://drive.google.com/drive/folders/1PkV-Dhm-Ba6JcGQq_6egg8op3uWXvSZN?usp=sharing</t>
        </is>
      </c>
    </row>
    <row r="18">
      <c r="A18" t="inlineStr">
        <is>
          <t>observaciones</t>
        </is>
      </c>
      <c r="B18" t="inlineStr">
        <is>
          <t>TPP y TED provienen de la corrida cronometrada y filmada (pretest 10/09, postest 12/09; instrumento unico: grabacion de pantalla con reloj visible, leido al segundo en ambas condiciones). Las correcciones de TED estan detalladas en la columna correspondiente de cada hoja (Pretest: escenarios 5 y 9; Postest: escenarios 8 y 14). NAS se verifico en una pasada suplementaria posterior (mismos 20 escenarios, sin video ni cronometraje) porque la base se reinicio por error antes de exportar el estado final de la corrida cronometrada; esa pasada tambien detecto y permitio corregir una condicion de carrera real en la confirmacion de pedidos (dos confirmaciones casi simultaneas sobre el mismo pedido descontaban stock dos veces), corregida en el codigo con una transaccion atomica en la base y verificada con 10 confirmaciones simultaneas de prueba. El pretest se cargo originalmente en formato a.m. por un default del editor de planillas; la corrida fue de noche (confirmado por la hora de guardado del video). Se sumaron 12 h a los horarios del pretest; los TPP (diferencias) no cambian.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2026-09-10T22:33:51Z</dcterms:created>
  <dcterms:modified xsi:type="dcterms:W3CDTF">2026-09-15T01:32:24Z</dcterms:modified>
  <cp:lastModifiedBy>Juan Ignacio Juarez</cp:lastModifiedBy>
</cp:coreProperties>
</file>