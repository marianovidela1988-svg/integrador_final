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uanignaciojuarezmillion/Documents/UTN/TESIS/integrador_final/docs/analisis/rerun/"/>
    </mc:Choice>
  </mc:AlternateContent>
  <xr:revisionPtr revIDLastSave="0" documentId="8_{F8F7F6D2-84A9-CD4B-B505-AD1F525D0B1F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Ledger" sheetId="1" r:id="rId1"/>
    <sheet name="Stock_manual" sheetId="2" r:id="rId2"/>
    <sheet name="Preci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" l="1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<sst xmlns="http://schemas.openxmlformats.org/spreadsheetml/2006/main" count="173" uniqueCount="105">
  <si>
    <t>Escenario</t>
  </si>
  <si>
    <t>Cliente</t>
  </si>
  <si>
    <t>Productos y cantidades</t>
  </si>
  <si>
    <t>Total $</t>
  </si>
  <si>
    <t>Estado (Registrado / Rechazado por stock)</t>
  </si>
  <si>
    <t>Correccion necesaria (Si/No)</t>
  </si>
  <si>
    <t>Detalle de la correccion</t>
  </si>
  <si>
    <t>Cliente escenario 1</t>
  </si>
  <si>
    <t>Cliente escenario 2</t>
  </si>
  <si>
    <t>Cliente escenario 3</t>
  </si>
  <si>
    <t>Cliente escenario 4</t>
  </si>
  <si>
    <t>Cliente escenario 5</t>
  </si>
  <si>
    <t>Cliente escenario 6</t>
  </si>
  <si>
    <t>Cliente escenario 7</t>
  </si>
  <si>
    <t>Cliente escenario 8</t>
  </si>
  <si>
    <t>Cliente escenario 9</t>
  </si>
  <si>
    <t>Cliente escenario 10</t>
  </si>
  <si>
    <t>Cliente escenario 11</t>
  </si>
  <si>
    <t>Cliente escenario 12</t>
  </si>
  <si>
    <t>Cliente escenario 13</t>
  </si>
  <si>
    <t>Cliente escenario 14</t>
  </si>
  <si>
    <t>Cliente escenario 15</t>
  </si>
  <si>
    <t>Cliente escenario 16</t>
  </si>
  <si>
    <t>Cliente escenario 17</t>
  </si>
  <si>
    <t>Cliente escenario 18</t>
  </si>
  <si>
    <t>Cliente escenario 19</t>
  </si>
  <si>
    <t>Cliente escenario 20</t>
  </si>
  <si>
    <t>Producto</t>
  </si>
  <si>
    <t>Stock inicial</t>
  </si>
  <si>
    <t>Escenarios que lo consumen</t>
  </si>
  <si>
    <t>STOCK ACTUAL (editar a mano al procesar cada pedido)</t>
  </si>
  <si>
    <t>Stock fisico real esperado</t>
  </si>
  <si>
    <t>Coincide (Si/No)</t>
  </si>
  <si>
    <t>Coca-Cola Regular</t>
  </si>
  <si>
    <t>1, 14</t>
  </si>
  <si>
    <t>Coca-Cola Zero</t>
  </si>
  <si>
    <t>6</t>
  </si>
  <si>
    <t>Pepsi Regular</t>
  </si>
  <si>
    <t>10</t>
  </si>
  <si>
    <t>Sprite Regular</t>
  </si>
  <si>
    <t>11  (19 se rechaza)</t>
  </si>
  <si>
    <t>Cerveza Quilmes</t>
  </si>
  <si>
    <t>13</t>
  </si>
  <si>
    <t>Fernet Branca</t>
  </si>
  <si>
    <t>14</t>
  </si>
  <si>
    <t>Marlboro Box</t>
  </si>
  <si>
    <t>2</t>
  </si>
  <si>
    <t>Phillips-Morris Convertible</t>
  </si>
  <si>
    <t>7</t>
  </si>
  <si>
    <t>Chocolate Aireado Milka</t>
  </si>
  <si>
    <t>3, 15</t>
  </si>
  <si>
    <t>Doritos 250gr</t>
  </si>
  <si>
    <t>5, 14, 20</t>
  </si>
  <si>
    <t>Bombon Bon o Bon</t>
  </si>
  <si>
    <t>8</t>
  </si>
  <si>
    <t>Gomitas Mogul</t>
  </si>
  <si>
    <t>12, 16</t>
  </si>
  <si>
    <t>Jabon Dove</t>
  </si>
  <si>
    <t>4</t>
  </si>
  <si>
    <t>Pasta de dientes Colgate</t>
  </si>
  <si>
    <t>9, 15</t>
  </si>
  <si>
    <t>Queso crema La Serenisima</t>
  </si>
  <si>
    <t>17 se rechaza</t>
  </si>
  <si>
    <t>Manteca La Serenisima</t>
  </si>
  <si>
    <t>18 se rechaza</t>
  </si>
  <si>
    <t>Leche descremada LS</t>
  </si>
  <si>
    <t>16</t>
  </si>
  <si>
    <t>Precio unitario $</t>
  </si>
  <si>
    <t>w1</t>
  </si>
  <si>
    <t>No</t>
  </si>
  <si>
    <t>w2</t>
  </si>
  <si>
    <t>CONFIRMADO</t>
  </si>
  <si>
    <t>Coca-Cola Regular - 1</t>
  </si>
  <si>
    <t>w3</t>
  </si>
  <si>
    <t>w4</t>
  </si>
  <si>
    <t>Bombon Bon o Bon - 2</t>
  </si>
  <si>
    <t>Pepsi Regular + Marlboro Box - 1 c/u</t>
  </si>
  <si>
    <t>Gomitas Mogul - 10</t>
  </si>
  <si>
    <t>w5</t>
  </si>
  <si>
    <t>Manteca la Serenisima - 5</t>
  </si>
  <si>
    <t>RECHAZADO</t>
  </si>
  <si>
    <t>WARM UP</t>
  </si>
  <si>
    <t>Coca-Cola Regular x1</t>
  </si>
  <si>
    <t>Marlboro Box x1</t>
  </si>
  <si>
    <t>Chocolate Aireado Milka x1</t>
  </si>
  <si>
    <t>Jabon Dove x1</t>
  </si>
  <si>
    <t>Doritos 250gr x1</t>
  </si>
  <si>
    <t>Si</t>
  </si>
  <si>
    <t>Coca-Cola Zero x1</t>
  </si>
  <si>
    <t>Phillips-Morris Convertible x1</t>
  </si>
  <si>
    <t>Bombon Bon o Bon x1</t>
  </si>
  <si>
    <t>Pasta de dientes Colgate x1</t>
  </si>
  <si>
    <t>Reste un producto aparte sin querer, lo corregí automaticamente</t>
  </si>
  <si>
    <t>Error de tipeo, verificación en planilla de stock el nombre del producto</t>
  </si>
  <si>
    <t>Pepsi Regular x1</t>
  </si>
  <si>
    <t>Sprite Regular x1</t>
  </si>
  <si>
    <t>Gomitas Mogul x1</t>
  </si>
  <si>
    <t>Cerveza Quilmes x1</t>
  </si>
  <si>
    <t>Coca-Cola Regular + Fernet Branca + Doritos 250gr 1 c/u</t>
  </si>
  <si>
    <t>Chocolate Aireado Milka + Pasta de dientes Colgate 1 c/u</t>
  </si>
  <si>
    <t>Gomitas Mogul + Leche descremada LS 1 C/U</t>
  </si>
  <si>
    <t>Queso crema la serenisima x3</t>
  </si>
  <si>
    <t>Manteca la Serenisima x2</t>
  </si>
  <si>
    <t>Sprite Regular x4</t>
  </si>
  <si>
    <t>Doritos 250gr 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</si>
</sst>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pane ySplit="1" topLeftCell="A2" activePane="bottomLeft" state="frozen"/>
      <selection pane="bottomLeft" activeCell="F21" sqref="F21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46" customWidth="1"/>
    <col min="4" max="4" width="12" customWidth="1"/>
    <col min="5" max="5" width="34" customWidth="1"/>
    <col min="6" max="6" width="26" customWidth="1"/>
    <col min="7" max="7" width="42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</v>
      </c>
      <c r="B2" t="s">
        <v>7</v>
      </c>
      <c r="C2" t="s">
        <v>82</v>
      </c>
      <c r="D2">
        <v>1300</v>
      </c>
      <c r="E2" t="s">
        <v>71</v>
      </c>
      <c r="F2" t="s">
        <v>69</v>
      </c>
    </row>
    <row r="3" spans="1:7" x14ac:dyDescent="0.2">
      <c r="A3">
        <v>2</v>
      </c>
      <c r="B3" t="s">
        <v>8</v>
      </c>
      <c r="C3" t="s">
        <v>83</v>
      </c>
      <c r="D3">
        <v>2800</v>
      </c>
      <c r="E3" t="s">
        <v>71</v>
      </c>
      <c r="F3" t="s">
        <v>69</v>
      </c>
    </row>
    <row r="4" spans="1:7" x14ac:dyDescent="0.2">
      <c r="A4">
        <v>3</v>
      </c>
      <c r="B4" t="s">
        <v>9</v>
      </c>
      <c r="C4" t="s">
        <v>84</v>
      </c>
      <c r="D4">
        <v>2600</v>
      </c>
      <c r="E4" t="s">
        <v>71</v>
      </c>
      <c r="F4" t="s">
        <v>69</v>
      </c>
    </row>
    <row r="5" spans="1:7" x14ac:dyDescent="0.2">
      <c r="A5">
        <v>4</v>
      </c>
      <c r="B5" t="s">
        <v>10</v>
      </c>
      <c r="C5" t="s">
        <v>85</v>
      </c>
      <c r="D5">
        <v>950</v>
      </c>
      <c r="E5" t="s">
        <v>71</v>
      </c>
      <c r="F5" t="s">
        <v>69</v>
      </c>
    </row>
    <row r="6" spans="1:7" x14ac:dyDescent="0.2">
      <c r="A6">
        <v>5</v>
      </c>
      <c r="B6" t="s">
        <v>11</v>
      </c>
      <c r="C6" t="s">
        <v>86</v>
      </c>
      <c r="D6">
        <v>3200</v>
      </c>
      <c r="E6" t="s">
        <v>71</v>
      </c>
      <c r="F6" t="s">
        <v>87</v>
      </c>
      <c r="G6" t="s">
        <v>92</v>
      </c>
    </row>
    <row r="7" spans="1:7" x14ac:dyDescent="0.2">
      <c r="A7">
        <v>6</v>
      </c>
      <c r="B7" t="s">
        <v>12</v>
      </c>
      <c r="C7" t="s">
        <v>88</v>
      </c>
      <c r="D7">
        <v>1300</v>
      </c>
      <c r="E7" t="s">
        <v>71</v>
      </c>
      <c r="F7" t="s">
        <v>69</v>
      </c>
    </row>
    <row r="8" spans="1:7" x14ac:dyDescent="0.2">
      <c r="A8">
        <v>7</v>
      </c>
      <c r="B8" t="s">
        <v>13</v>
      </c>
      <c r="C8" t="s">
        <v>89</v>
      </c>
      <c r="D8">
        <v>2700</v>
      </c>
      <c r="E8" t="s">
        <v>71</v>
      </c>
      <c r="F8" t="s">
        <v>69</v>
      </c>
    </row>
    <row r="9" spans="1:7" x14ac:dyDescent="0.2">
      <c r="A9">
        <v>8</v>
      </c>
      <c r="B9" t="s">
        <v>14</v>
      </c>
      <c r="C9" t="s">
        <v>90</v>
      </c>
      <c r="D9">
        <v>450</v>
      </c>
      <c r="E9" t="s">
        <v>71</v>
      </c>
      <c r="F9" t="s">
        <v>69</v>
      </c>
    </row>
    <row r="10" spans="1:7" x14ac:dyDescent="0.2">
      <c r="A10">
        <v>9</v>
      </c>
      <c r="B10" t="s">
        <v>15</v>
      </c>
      <c r="C10" t="s">
        <v>91</v>
      </c>
      <c r="D10">
        <v>1500</v>
      </c>
      <c r="E10" t="s">
        <v>71</v>
      </c>
      <c r="F10" t="s">
        <v>87</v>
      </c>
      <c r="G10" t="s">
        <v>93</v>
      </c>
    </row>
    <row r="11" spans="1:7" x14ac:dyDescent="0.2">
      <c r="A11">
        <v>10</v>
      </c>
      <c r="B11" t="s">
        <v>16</v>
      </c>
      <c r="C11" t="s">
        <v>94</v>
      </c>
      <c r="D11">
        <v>1200</v>
      </c>
      <c r="E11" t="s">
        <v>71</v>
      </c>
      <c r="F11" t="s">
        <v>69</v>
      </c>
    </row>
    <row r="12" spans="1:7" x14ac:dyDescent="0.2">
      <c r="A12">
        <v>11</v>
      </c>
      <c r="B12" t="s">
        <v>17</v>
      </c>
      <c r="C12" t="s">
        <v>95</v>
      </c>
      <c r="D12">
        <v>1200</v>
      </c>
      <c r="E12" t="s">
        <v>71</v>
      </c>
      <c r="F12" t="s">
        <v>69</v>
      </c>
    </row>
    <row r="13" spans="1:7" x14ac:dyDescent="0.2">
      <c r="A13">
        <v>12</v>
      </c>
      <c r="B13" t="s">
        <v>18</v>
      </c>
      <c r="C13" t="s">
        <v>96</v>
      </c>
      <c r="D13">
        <v>700</v>
      </c>
      <c r="E13" t="s">
        <v>71</v>
      </c>
      <c r="F13" t="s">
        <v>69</v>
      </c>
    </row>
    <row r="14" spans="1:7" x14ac:dyDescent="0.2">
      <c r="A14">
        <v>13</v>
      </c>
      <c r="B14" t="s">
        <v>19</v>
      </c>
      <c r="C14" t="s">
        <v>97</v>
      </c>
      <c r="D14">
        <v>1900</v>
      </c>
      <c r="E14" t="s">
        <v>71</v>
      </c>
      <c r="F14" t="s">
        <v>69</v>
      </c>
    </row>
    <row r="15" spans="1:7" x14ac:dyDescent="0.2">
      <c r="A15">
        <v>14</v>
      </c>
      <c r="B15" t="s">
        <v>20</v>
      </c>
      <c r="C15" t="s">
        <v>98</v>
      </c>
      <c r="D15">
        <v>15000</v>
      </c>
      <c r="E15" t="s">
        <v>71</v>
      </c>
      <c r="F15" t="s">
        <v>69</v>
      </c>
    </row>
    <row r="16" spans="1:7" x14ac:dyDescent="0.2">
      <c r="A16">
        <v>15</v>
      </c>
      <c r="B16" t="s">
        <v>21</v>
      </c>
      <c r="C16" t="s">
        <v>99</v>
      </c>
      <c r="D16">
        <v>4100</v>
      </c>
      <c r="E16" t="s">
        <v>71</v>
      </c>
      <c r="F16" t="s">
        <v>69</v>
      </c>
    </row>
    <row r="17" spans="1:6" x14ac:dyDescent="0.2">
      <c r="A17">
        <v>16</v>
      </c>
      <c r="B17" t="s">
        <v>22</v>
      </c>
      <c r="C17" t="s">
        <v>100</v>
      </c>
      <c r="D17">
        <v>1950</v>
      </c>
      <c r="E17" t="s">
        <v>71</v>
      </c>
      <c r="F17" t="s">
        <v>69</v>
      </c>
    </row>
    <row r="18" spans="1:6" x14ac:dyDescent="0.2">
      <c r="A18">
        <v>17</v>
      </c>
      <c r="B18" t="s">
        <v>23</v>
      </c>
      <c r="C18" t="s">
        <v>101</v>
      </c>
      <c r="D18">
        <v>7200</v>
      </c>
      <c r="E18" t="s">
        <v>80</v>
      </c>
      <c r="F18" t="s">
        <v>69</v>
      </c>
    </row>
    <row r="19" spans="1:6" x14ac:dyDescent="0.2">
      <c r="A19">
        <v>18</v>
      </c>
      <c r="B19" t="s">
        <v>24</v>
      </c>
      <c r="C19" t="s">
        <v>102</v>
      </c>
      <c r="D19">
        <v>4200</v>
      </c>
      <c r="E19" t="s">
        <v>80</v>
      </c>
      <c r="F19" t="s">
        <v>69</v>
      </c>
    </row>
    <row r="20" spans="1:6" x14ac:dyDescent="0.2">
      <c r="A20">
        <v>19</v>
      </c>
      <c r="B20" t="s">
        <v>25</v>
      </c>
      <c r="C20" t="s">
        <v>103</v>
      </c>
      <c r="D20">
        <v>4800</v>
      </c>
      <c r="E20" t="s">
        <v>80</v>
      </c>
      <c r="F20" t="s">
        <v>69</v>
      </c>
    </row>
    <row r="21" spans="1:6" x14ac:dyDescent="0.2">
      <c r="A21">
        <v>20</v>
      </c>
      <c r="B21" t="s">
        <v>26</v>
      </c>
      <c r="C21" t="s">
        <v>104</v>
      </c>
      <c r="D21">
        <v>32000</v>
      </c>
      <c r="E21" t="s">
        <v>71</v>
      </c>
      <c r="F21" t="s">
        <v>69</v>
      </c>
    </row>
    <row r="22" spans="1:6" x14ac:dyDescent="0.2">
      <c r="A22" t="s">
        <v>68</v>
      </c>
      <c r="B22" s="2" t="s">
        <v>81</v>
      </c>
      <c r="C22" t="s">
        <v>72</v>
      </c>
      <c r="D22">
        <v>1300</v>
      </c>
      <c r="E22" t="s">
        <v>71</v>
      </c>
      <c r="F22" t="s">
        <v>69</v>
      </c>
    </row>
    <row r="23" spans="1:6" x14ac:dyDescent="0.2">
      <c r="A23" t="s">
        <v>70</v>
      </c>
      <c r="B23" s="2" t="s">
        <v>81</v>
      </c>
      <c r="C23" t="s">
        <v>75</v>
      </c>
      <c r="D23">
        <v>900</v>
      </c>
      <c r="E23" t="s">
        <v>71</v>
      </c>
      <c r="F23" t="s">
        <v>69</v>
      </c>
    </row>
    <row r="24" spans="1:6" x14ac:dyDescent="0.2">
      <c r="A24" t="s">
        <v>73</v>
      </c>
      <c r="B24" s="2" t="s">
        <v>81</v>
      </c>
      <c r="C24" t="s">
        <v>76</v>
      </c>
      <c r="D24">
        <v>4000</v>
      </c>
      <c r="E24" t="s">
        <v>71</v>
      </c>
      <c r="F24" t="s">
        <v>69</v>
      </c>
    </row>
    <row r="25" spans="1:6" x14ac:dyDescent="0.2">
      <c r="A25" t="s">
        <v>74</v>
      </c>
      <c r="B25" s="2" t="s">
        <v>81</v>
      </c>
      <c r="C25" t="s">
        <v>77</v>
      </c>
      <c r="D25">
        <v>7000</v>
      </c>
      <c r="E25" t="s">
        <v>71</v>
      </c>
      <c r="F25" t="s">
        <v>69</v>
      </c>
    </row>
    <row r="26" spans="1:6" x14ac:dyDescent="0.2">
      <c r="A26" t="s">
        <v>78</v>
      </c>
      <c r="B26" s="2" t="s">
        <v>81</v>
      </c>
      <c r="C26" t="s">
        <v>79</v>
      </c>
      <c r="D26">
        <v>10500</v>
      </c>
      <c r="E26" t="s">
        <v>80</v>
      </c>
      <c r="F26" t="s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pane ySplit="1" topLeftCell="A2" activePane="bottomLeft" state="frozen"/>
      <selection pane="bottomLeft" activeCell="D12" sqref="D12"/>
    </sheetView>
  </sheetViews>
  <sheetFormatPr baseColWidth="10" defaultColWidth="8.83203125" defaultRowHeight="15" x14ac:dyDescent="0.2"/>
  <cols>
    <col min="1" max="1" width="30" customWidth="1"/>
    <col min="2" max="2" width="14" customWidth="1"/>
    <col min="3" max="3" width="26" customWidth="1"/>
    <col min="4" max="4" width="42" customWidth="1"/>
    <col min="5" max="5" width="24" customWidth="1"/>
    <col min="6" max="6" width="16" customWidth="1"/>
  </cols>
  <sheetData>
    <row r="1" spans="1:6" ht="32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x14ac:dyDescent="0.2">
      <c r="A2" t="s">
        <v>33</v>
      </c>
      <c r="B2">
        <v>25</v>
      </c>
      <c r="C2" t="s">
        <v>34</v>
      </c>
      <c r="D2">
        <v>23</v>
      </c>
      <c r="E2">
        <v>23</v>
      </c>
      <c r="F2" t="str">
        <f t="shared" ref="F2:F18" si="0">IF(D2&lt;&gt;"",IF(D2=E2,"Si","No"),"")</f>
        <v>Si</v>
      </c>
    </row>
    <row r="3" spans="1:6" x14ac:dyDescent="0.2">
      <c r="A3" t="s">
        <v>35</v>
      </c>
      <c r="B3">
        <v>50</v>
      </c>
      <c r="C3" t="s">
        <v>36</v>
      </c>
      <c r="D3">
        <v>49</v>
      </c>
      <c r="E3">
        <v>49</v>
      </c>
      <c r="F3" t="str">
        <f t="shared" si="0"/>
        <v>Si</v>
      </c>
    </row>
    <row r="4" spans="1:6" x14ac:dyDescent="0.2">
      <c r="A4" t="s">
        <v>37</v>
      </c>
      <c r="B4">
        <v>12</v>
      </c>
      <c r="C4" t="s">
        <v>38</v>
      </c>
      <c r="D4">
        <v>11</v>
      </c>
      <c r="E4">
        <v>11</v>
      </c>
      <c r="F4" t="str">
        <f t="shared" si="0"/>
        <v>Si</v>
      </c>
    </row>
    <row r="5" spans="1:6" x14ac:dyDescent="0.2">
      <c r="A5" t="s">
        <v>39</v>
      </c>
      <c r="B5">
        <v>3</v>
      </c>
      <c r="C5" t="s">
        <v>40</v>
      </c>
      <c r="D5">
        <v>2</v>
      </c>
      <c r="E5">
        <v>2</v>
      </c>
      <c r="F5" t="str">
        <f t="shared" si="0"/>
        <v>Si</v>
      </c>
    </row>
    <row r="6" spans="1:6" x14ac:dyDescent="0.2">
      <c r="A6" t="s">
        <v>41</v>
      </c>
      <c r="B6">
        <v>21</v>
      </c>
      <c r="C6" t="s">
        <v>42</v>
      </c>
      <c r="D6">
        <v>20</v>
      </c>
      <c r="E6">
        <v>20</v>
      </c>
      <c r="F6" t="str">
        <f t="shared" si="0"/>
        <v>Si</v>
      </c>
    </row>
    <row r="7" spans="1:6" x14ac:dyDescent="0.2">
      <c r="A7" t="s">
        <v>43</v>
      </c>
      <c r="B7">
        <v>12</v>
      </c>
      <c r="C7" t="s">
        <v>44</v>
      </c>
      <c r="D7">
        <v>11</v>
      </c>
      <c r="E7">
        <v>11</v>
      </c>
      <c r="F7" t="str">
        <f t="shared" si="0"/>
        <v>Si</v>
      </c>
    </row>
    <row r="8" spans="1:6" x14ac:dyDescent="0.2">
      <c r="A8" t="s">
        <v>45</v>
      </c>
      <c r="B8">
        <v>30</v>
      </c>
      <c r="C8" t="s">
        <v>46</v>
      </c>
      <c r="D8">
        <v>29</v>
      </c>
      <c r="E8">
        <v>29</v>
      </c>
      <c r="F8" t="str">
        <f t="shared" si="0"/>
        <v>Si</v>
      </c>
    </row>
    <row r="9" spans="1:6" x14ac:dyDescent="0.2">
      <c r="A9" t="s">
        <v>47</v>
      </c>
      <c r="B9">
        <v>23</v>
      </c>
      <c r="C9" t="s">
        <v>48</v>
      </c>
      <c r="D9">
        <v>22</v>
      </c>
      <c r="E9">
        <v>22</v>
      </c>
      <c r="F9" t="str">
        <f t="shared" si="0"/>
        <v>Si</v>
      </c>
    </row>
    <row r="10" spans="1:6" x14ac:dyDescent="0.2">
      <c r="A10" t="s">
        <v>49</v>
      </c>
      <c r="B10">
        <v>22</v>
      </c>
      <c r="C10" t="s">
        <v>50</v>
      </c>
      <c r="D10">
        <v>20</v>
      </c>
      <c r="E10">
        <v>20</v>
      </c>
      <c r="F10" t="str">
        <f t="shared" si="0"/>
        <v>Si</v>
      </c>
    </row>
    <row r="11" spans="1:6" x14ac:dyDescent="0.2">
      <c r="A11" t="s">
        <v>51</v>
      </c>
      <c r="B11">
        <v>40</v>
      </c>
      <c r="C11" t="s">
        <v>52</v>
      </c>
      <c r="D11">
        <v>28</v>
      </c>
      <c r="E11">
        <v>28</v>
      </c>
      <c r="F11" t="str">
        <f t="shared" si="0"/>
        <v>Si</v>
      </c>
    </row>
    <row r="12" spans="1:6" x14ac:dyDescent="0.2">
      <c r="A12" t="s">
        <v>53</v>
      </c>
      <c r="B12">
        <v>45</v>
      </c>
      <c r="C12" t="s">
        <v>54</v>
      </c>
      <c r="D12">
        <v>44</v>
      </c>
      <c r="E12">
        <v>44</v>
      </c>
      <c r="F12" t="str">
        <f t="shared" si="0"/>
        <v>Si</v>
      </c>
    </row>
    <row r="13" spans="1:6" x14ac:dyDescent="0.2">
      <c r="A13" t="s">
        <v>55</v>
      </c>
      <c r="B13">
        <v>10</v>
      </c>
      <c r="C13" t="s">
        <v>56</v>
      </c>
      <c r="D13">
        <v>8</v>
      </c>
      <c r="E13">
        <v>8</v>
      </c>
      <c r="F13" t="str">
        <f t="shared" si="0"/>
        <v>Si</v>
      </c>
    </row>
    <row r="14" spans="1:6" x14ac:dyDescent="0.2">
      <c r="A14" t="s">
        <v>57</v>
      </c>
      <c r="B14">
        <v>15</v>
      </c>
      <c r="C14" t="s">
        <v>58</v>
      </c>
      <c r="D14">
        <v>14</v>
      </c>
      <c r="E14">
        <v>14</v>
      </c>
      <c r="F14" t="str">
        <f t="shared" si="0"/>
        <v>Si</v>
      </c>
    </row>
    <row r="15" spans="1:6" x14ac:dyDescent="0.2">
      <c r="A15" t="s">
        <v>59</v>
      </c>
      <c r="B15">
        <v>47</v>
      </c>
      <c r="C15" t="s">
        <v>60</v>
      </c>
      <c r="D15">
        <v>45</v>
      </c>
      <c r="E15">
        <v>45</v>
      </c>
      <c r="F15" t="str">
        <f t="shared" si="0"/>
        <v>Si</v>
      </c>
    </row>
    <row r="16" spans="1:6" x14ac:dyDescent="0.2">
      <c r="A16" t="s">
        <v>61</v>
      </c>
      <c r="B16">
        <v>2</v>
      </c>
      <c r="C16" t="s">
        <v>62</v>
      </c>
      <c r="D16">
        <v>2</v>
      </c>
      <c r="E16">
        <v>2</v>
      </c>
      <c r="F16" t="str">
        <f t="shared" si="0"/>
        <v>Si</v>
      </c>
    </row>
    <row r="17" spans="1:6" x14ac:dyDescent="0.2">
      <c r="A17" t="s">
        <v>63</v>
      </c>
      <c r="B17">
        <v>1</v>
      </c>
      <c r="C17" t="s">
        <v>64</v>
      </c>
      <c r="D17">
        <v>1</v>
      </c>
      <c r="E17">
        <v>1</v>
      </c>
      <c r="F17" t="str">
        <f t="shared" si="0"/>
        <v>Si</v>
      </c>
    </row>
    <row r="18" spans="1:6" x14ac:dyDescent="0.2">
      <c r="A18" t="s">
        <v>65</v>
      </c>
      <c r="B18">
        <v>28</v>
      </c>
      <c r="C18" t="s">
        <v>66</v>
      </c>
      <c r="D18">
        <v>27</v>
      </c>
      <c r="E18">
        <v>27</v>
      </c>
      <c r="F18" t="str">
        <f t="shared" si="0"/>
        <v>Si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pane ySplit="1" topLeftCell="A2" activePane="bottomLeft" state="frozen"/>
      <selection pane="bottomLeft" activeCell="B17" sqref="B17"/>
    </sheetView>
  </sheetViews>
  <sheetFormatPr baseColWidth="10" defaultColWidth="8.83203125" defaultRowHeight="15" x14ac:dyDescent="0.2"/>
  <cols>
    <col min="1" max="1" width="30" customWidth="1"/>
    <col min="2" max="2" width="18" customWidth="1"/>
  </cols>
  <sheetData>
    <row r="1" spans="1:2" ht="16" x14ac:dyDescent="0.2">
      <c r="A1" s="1" t="s">
        <v>27</v>
      </c>
      <c r="B1" s="1" t="s">
        <v>67</v>
      </c>
    </row>
    <row r="2" spans="1:2" x14ac:dyDescent="0.2">
      <c r="A2" t="s">
        <v>33</v>
      </c>
      <c r="B2">
        <v>1300</v>
      </c>
    </row>
    <row r="3" spans="1:2" x14ac:dyDescent="0.2">
      <c r="A3" t="s">
        <v>35</v>
      </c>
      <c r="B3">
        <v>1300</v>
      </c>
    </row>
    <row r="4" spans="1:2" x14ac:dyDescent="0.2">
      <c r="A4" t="s">
        <v>37</v>
      </c>
      <c r="B4">
        <v>1200</v>
      </c>
    </row>
    <row r="5" spans="1:2" x14ac:dyDescent="0.2">
      <c r="A5" t="s">
        <v>39</v>
      </c>
      <c r="B5">
        <v>1200</v>
      </c>
    </row>
    <row r="6" spans="1:2" x14ac:dyDescent="0.2">
      <c r="A6" t="s">
        <v>41</v>
      </c>
      <c r="B6">
        <v>1900</v>
      </c>
    </row>
    <row r="7" spans="1:2" x14ac:dyDescent="0.2">
      <c r="A7" t="s">
        <v>43</v>
      </c>
      <c r="B7">
        <v>10500</v>
      </c>
    </row>
    <row r="8" spans="1:2" x14ac:dyDescent="0.2">
      <c r="A8" t="s">
        <v>45</v>
      </c>
      <c r="B8">
        <v>2800</v>
      </c>
    </row>
    <row r="9" spans="1:2" x14ac:dyDescent="0.2">
      <c r="A9" t="s">
        <v>47</v>
      </c>
      <c r="B9">
        <v>2700</v>
      </c>
    </row>
    <row r="10" spans="1:2" x14ac:dyDescent="0.2">
      <c r="A10" t="s">
        <v>49</v>
      </c>
      <c r="B10">
        <v>2600</v>
      </c>
    </row>
    <row r="11" spans="1:2" x14ac:dyDescent="0.2">
      <c r="A11" t="s">
        <v>51</v>
      </c>
      <c r="B11">
        <v>3200</v>
      </c>
    </row>
    <row r="12" spans="1:2" x14ac:dyDescent="0.2">
      <c r="A12" t="s">
        <v>53</v>
      </c>
      <c r="B12">
        <v>450</v>
      </c>
    </row>
    <row r="13" spans="1:2" x14ac:dyDescent="0.2">
      <c r="A13" t="s">
        <v>55</v>
      </c>
      <c r="B13">
        <v>700</v>
      </c>
    </row>
    <row r="14" spans="1:2" x14ac:dyDescent="0.2">
      <c r="A14" t="s">
        <v>57</v>
      </c>
      <c r="B14">
        <v>950</v>
      </c>
    </row>
    <row r="15" spans="1:2" x14ac:dyDescent="0.2">
      <c r="A15" t="s">
        <v>59</v>
      </c>
      <c r="B15">
        <v>1500</v>
      </c>
    </row>
    <row r="16" spans="1:2" x14ac:dyDescent="0.2">
      <c r="A16" t="s">
        <v>61</v>
      </c>
      <c r="B16">
        <v>2400</v>
      </c>
    </row>
    <row r="17" spans="1:2" x14ac:dyDescent="0.2">
      <c r="A17" t="s">
        <v>63</v>
      </c>
      <c r="B17">
        <v>2100</v>
      </c>
    </row>
    <row r="18" spans="1:2" x14ac:dyDescent="0.2">
      <c r="A18" t="s">
        <v>65</v>
      </c>
      <c r="B18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Ledger</vt:lpstr>
      <vt:lpstr>Stock_manual</vt:lpstr>
      <vt:lpstr>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Ignacio Juarez</cp:lastModifiedBy>
  <dcterms:created xsi:type="dcterms:W3CDTF">2026-09-10T22:47:45Z</dcterms:created>
  <dcterms:modified xsi:type="dcterms:W3CDTF">2026-09-11T01:16:55Z</dcterms:modified>
</cp:coreProperties>
</file>