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uanignaciojuarezmillion/Documents/UTN/TESIS/integrador_final/docs/analisis/rerun/"/>
    </mc:Choice>
  </mc:AlternateContent>
  <xr:revisionPtr revIDLastSave="0" documentId="13_ncr:1_{B7A30F6E-6F00-0243-A708-66CF81FF4730}" xr6:coauthVersionLast="47" xr6:coauthVersionMax="47" xr10:uidLastSave="{00000000-0000-0000-0000-000000000000}"/>
  <bookViews>
    <workbookView xWindow="20" yWindow="660" windowWidth="29400" windowHeight="16960" activeTab="3" xr2:uid="{00000000-000D-0000-FFFF-FFFF00000000}"/>
  </bookViews>
  <sheets>
    <sheet name="Escenarios" sheetId="1" r:id="rId1"/>
    <sheet name="Warmup" sheetId="2" r:id="rId2"/>
    <sheet name="Pretest" sheetId="3" r:id="rId3"/>
    <sheet name="Postest" sheetId="4" r:id="rId4"/>
    <sheet name="Auditoria_Stock" sheetId="5" r:id="rId5"/>
    <sheet name="Metadatos_corri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5" l="1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<sst xmlns="http://schemas.openxmlformats.org/spreadsheetml/2006/main" count="280" uniqueCount="106">
  <si>
    <t>Campo</t>
  </si>
  <si>
    <t>Valor</t>
  </si>
  <si>
    <t>fecha_pretest (AAAA-MM-DD)</t>
  </si>
  <si>
    <t>hora_inicio_pretest</t>
  </si>
  <si>
    <t>hora_fin_pretest</t>
  </si>
  <si>
    <t>fecha_postest (AAAA-MM-DD)</t>
  </si>
  <si>
    <t>hora_inicio_postest</t>
  </si>
  <si>
    <t>hora_fin_postest</t>
  </si>
  <si>
    <t>intervalo real entre condiciones</t>
  </si>
  <si>
    <t>operador 1</t>
  </si>
  <si>
    <t>Juan Ignacio Juarez</t>
  </si>
  <si>
    <t>operador 2</t>
  </si>
  <si>
    <t>-</t>
  </si>
  <si>
    <t>commit del repo al momento de correr</t>
  </si>
  <si>
    <t>911e07d (working tree con cambios locales no commiteados; ver git status)</t>
  </si>
  <si>
    <t>version backend (Spring Boot)</t>
  </si>
  <si>
    <t>4.0.5 (Spring Boot), Java runtime segun mvnw (Corretto 24 / Temurin 17)</t>
  </si>
  <si>
    <t>version n8n</t>
  </si>
  <si>
    <t>2.35.7</t>
  </si>
  <si>
    <t>version ngrok / dominio</t>
  </si>
  <si>
    <t>gianni-astigmic-semiconventionally.ngrok-free.dev (dominio fijo)</t>
  </si>
  <si>
    <t>archivo de video - pretest</t>
  </si>
  <si>
    <t>video_pretest.mov</t>
  </si>
  <si>
    <t>archivo de video - postest</t>
  </si>
  <si>
    <t>enlace publico a los videos (Drive)</t>
  </si>
  <si>
    <t>observaciones</t>
  </si>
  <si>
    <t>Correccion aplicada: los horarios del pretest se cargaron originalmente en formato a.m. por defecto del editor de planillas; la corrida fue realmente de noche (confirmado por la hora de guardado del archivo de video, 22:01). Se sumaron 12 h a todos los t_inicio/t_fin del pretest y a hora_inicio_pretest/hora_fin_pretest. Los TPP (diferencia t_fin-t_inicio) no cambian con esta correccion.</t>
  </si>
  <si>
    <t>ID</t>
  </si>
  <si>
    <t>Tipo</t>
  </si>
  <si>
    <t>Categoria</t>
  </si>
  <si>
    <t>Producto(s)</t>
  </si>
  <si>
    <t>Cantidad</t>
  </si>
  <si>
    <t>Resultado esperado</t>
  </si>
  <si>
    <t>Simple 1 producto</t>
  </si>
  <si>
    <t>Bebidas</t>
  </si>
  <si>
    <t>Coca-Cola Regular</t>
  </si>
  <si>
    <t>Confirmado</t>
  </si>
  <si>
    <t>Cigarrillos</t>
  </si>
  <si>
    <t>Marlboro Box</t>
  </si>
  <si>
    <t>Golosinas</t>
  </si>
  <si>
    <t>Chocolate Aireado Milka</t>
  </si>
  <si>
    <t>Perfumeria e Higiene</t>
  </si>
  <si>
    <t>Jabon Dove</t>
  </si>
  <si>
    <t>Doritos 250gr</t>
  </si>
  <si>
    <t>Coca-Cola Zero</t>
  </si>
  <si>
    <t>Phillips-Morris Convertible</t>
  </si>
  <si>
    <t>Bombon Bon o Bon</t>
  </si>
  <si>
    <t>Pasta de dientes Colgate</t>
  </si>
  <si>
    <t>Pepsi Regular</t>
  </si>
  <si>
    <t>Sprite Regular</t>
  </si>
  <si>
    <t>Gomitas Mogul</t>
  </si>
  <si>
    <t>Cerveza Quilmes</t>
  </si>
  <si>
    <t>Multiple (3 productos)</t>
  </si>
  <si>
    <t>Bebidas + Golosinas</t>
  </si>
  <si>
    <t>Coca-Cola Regular + Fernet Branca + Doritos 250gr</t>
  </si>
  <si>
    <t>1 c/u</t>
  </si>
  <si>
    <t>Multiple (2 productos)</t>
  </si>
  <si>
    <t>Golosinas + Perfumeria</t>
  </si>
  <si>
    <t>Chocolate Aireado Milka + Pasta de dientes Colgate</t>
  </si>
  <si>
    <t>Golosinas + Lacteos</t>
  </si>
  <si>
    <t>Gomitas Mogul + Leche descremada LS</t>
  </si>
  <si>
    <t>Error stock insuficiente</t>
  </si>
  <si>
    <t>Lacteos</t>
  </si>
  <si>
    <t>Queso crema La Serenisima</t>
  </si>
  <si>
    <t>Cancelado (disp. 2 &lt; 3)</t>
  </si>
  <si>
    <t>Manteca La Serenisima</t>
  </si>
  <si>
    <t>Cancelado (disp. 1 &lt; 2)</t>
  </si>
  <si>
    <t>Cancelado (disp. 2 &lt; 4)</t>
  </si>
  <si>
    <t>Limite cantidad maxima</t>
  </si>
  <si>
    <t>Confirmado (disp. 38 &gt;= 10)</t>
  </si>
  <si>
    <t>Nota: los 20 escenarios se ejecutan IDENTICOS y en el mismo orden en pretest y postest. Antes van 5 escenarios de warm-up (hoja Warmup), excluidos del analisis, tras los cuales se re-ejecuta seed_experimento.sql.</t>
  </si>
  <si>
    <t>#</t>
  </si>
  <si>
    <t>W1</t>
  </si>
  <si>
    <t>W2</t>
  </si>
  <si>
    <t>W3</t>
  </si>
  <si>
    <t>Multiple</t>
  </si>
  <si>
    <t>Bebidas + Cigarrillos</t>
  </si>
  <si>
    <t>Pepsi Regular + Marlboro Box</t>
  </si>
  <si>
    <t>W4</t>
  </si>
  <si>
    <t>W5</t>
  </si>
  <si>
    <t>Cancelado (stock 1 &lt; 5)</t>
  </si>
  <si>
    <t>EXCLUIDOS del analisis. No se cronometran. Tras estos 5, re-ejecutar seed_experimento.sql.</t>
  </si>
  <si>
    <t>ID escenario</t>
  </si>
  <si>
    <t>t_inicio (hh:mm:ss)</t>
  </si>
  <si>
    <t>t_fin (hh:mm:ss)</t>
  </si>
  <si>
    <t>TPP (s)</t>
  </si>
  <si>
    <t>Correccion necesaria (Si/No)</t>
  </si>
  <si>
    <t>Detalle de la correccion</t>
  </si>
  <si>
    <t>Fuente del tiempo (video/ledger)</t>
  </si>
  <si>
    <t>No</t>
  </si>
  <si>
    <t>Si</t>
  </si>
  <si>
    <t>Reste un producto aparte sin querer, lo corregí automaticamente</t>
  </si>
  <si>
    <t>Error de tipeo, verificación en planilla de stock el nombre del producto</t>
  </si>
  <si>
    <t>pedido_id (tabla pedidos)</t>
  </si>
  <si>
    <t>n8n execution timestamp</t>
  </si>
  <si>
    <t>Producto</t>
  </si>
  <si>
    <t>Condicion</t>
  </si>
  <si>
    <t>Stock inicial</t>
  </si>
  <si>
    <t>Consumo esperado (escenarios OK)</t>
  </si>
  <si>
    <t>Stock fisico esperado</t>
  </si>
  <si>
    <t>Stock registrado (ledger/sistema)</t>
  </si>
  <si>
    <t>Coincide (Si/No)</t>
  </si>
  <si>
    <t>Pretest</t>
  </si>
  <si>
    <t>Fernet Branca</t>
  </si>
  <si>
    <t>Leche descremada LS</t>
  </si>
  <si>
    <t>Postest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</si>
</sst>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26" customWidth="1"/>
    <col min="3" max="3" width="22" customWidth="1"/>
    <col min="4" max="4" width="44" customWidth="1"/>
    <col min="5" max="5" width="10" customWidth="1"/>
    <col min="6" max="6" width="26" customWidth="1"/>
  </cols>
  <sheetData>
    <row r="1" spans="1:6" ht="16" customHeight="1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">
      <c r="A2">
        <v>1</v>
      </c>
      <c r="B2" t="s">
        <v>33</v>
      </c>
      <c r="C2" t="s">
        <v>34</v>
      </c>
      <c r="D2" t="s">
        <v>35</v>
      </c>
      <c r="E2">
        <v>1</v>
      </c>
      <c r="F2" t="s">
        <v>36</v>
      </c>
    </row>
    <row r="3" spans="1:6" x14ac:dyDescent="0.2">
      <c r="A3">
        <v>2</v>
      </c>
      <c r="B3" t="s">
        <v>33</v>
      </c>
      <c r="C3" t="s">
        <v>37</v>
      </c>
      <c r="D3" t="s">
        <v>38</v>
      </c>
      <c r="E3">
        <v>1</v>
      </c>
      <c r="F3" t="s">
        <v>36</v>
      </c>
    </row>
    <row r="4" spans="1:6" x14ac:dyDescent="0.2">
      <c r="A4">
        <v>3</v>
      </c>
      <c r="B4" t="s">
        <v>33</v>
      </c>
      <c r="C4" t="s">
        <v>39</v>
      </c>
      <c r="D4" t="s">
        <v>40</v>
      </c>
      <c r="E4">
        <v>1</v>
      </c>
      <c r="F4" t="s">
        <v>36</v>
      </c>
    </row>
    <row r="5" spans="1:6" x14ac:dyDescent="0.2">
      <c r="A5">
        <v>4</v>
      </c>
      <c r="B5" t="s">
        <v>33</v>
      </c>
      <c r="C5" t="s">
        <v>41</v>
      </c>
      <c r="D5" t="s">
        <v>42</v>
      </c>
      <c r="E5">
        <v>1</v>
      </c>
      <c r="F5" t="s">
        <v>36</v>
      </c>
    </row>
    <row r="6" spans="1:6" x14ac:dyDescent="0.2">
      <c r="A6">
        <v>5</v>
      </c>
      <c r="B6" t="s">
        <v>33</v>
      </c>
      <c r="C6" t="s">
        <v>39</v>
      </c>
      <c r="D6" t="s">
        <v>43</v>
      </c>
      <c r="E6">
        <v>1</v>
      </c>
      <c r="F6" t="s">
        <v>36</v>
      </c>
    </row>
    <row r="7" spans="1:6" x14ac:dyDescent="0.2">
      <c r="A7">
        <v>6</v>
      </c>
      <c r="B7" t="s">
        <v>33</v>
      </c>
      <c r="C7" t="s">
        <v>34</v>
      </c>
      <c r="D7" t="s">
        <v>44</v>
      </c>
      <c r="E7">
        <v>1</v>
      </c>
      <c r="F7" t="s">
        <v>36</v>
      </c>
    </row>
    <row r="8" spans="1:6" x14ac:dyDescent="0.2">
      <c r="A8">
        <v>7</v>
      </c>
      <c r="B8" t="s">
        <v>33</v>
      </c>
      <c r="C8" t="s">
        <v>37</v>
      </c>
      <c r="D8" t="s">
        <v>45</v>
      </c>
      <c r="E8">
        <v>1</v>
      </c>
      <c r="F8" t="s">
        <v>36</v>
      </c>
    </row>
    <row r="9" spans="1:6" x14ac:dyDescent="0.2">
      <c r="A9">
        <v>8</v>
      </c>
      <c r="B9" t="s">
        <v>33</v>
      </c>
      <c r="C9" t="s">
        <v>39</v>
      </c>
      <c r="D9" t="s">
        <v>46</v>
      </c>
      <c r="E9">
        <v>1</v>
      </c>
      <c r="F9" t="s">
        <v>36</v>
      </c>
    </row>
    <row r="10" spans="1:6" x14ac:dyDescent="0.2">
      <c r="A10">
        <v>9</v>
      </c>
      <c r="B10" t="s">
        <v>33</v>
      </c>
      <c r="C10" t="s">
        <v>41</v>
      </c>
      <c r="D10" t="s">
        <v>47</v>
      </c>
      <c r="E10">
        <v>1</v>
      </c>
      <c r="F10" t="s">
        <v>36</v>
      </c>
    </row>
    <row r="11" spans="1:6" x14ac:dyDescent="0.2">
      <c r="A11">
        <v>10</v>
      </c>
      <c r="B11" t="s">
        <v>33</v>
      </c>
      <c r="C11" t="s">
        <v>34</v>
      </c>
      <c r="D11" t="s">
        <v>48</v>
      </c>
      <c r="E11">
        <v>1</v>
      </c>
      <c r="F11" t="s">
        <v>36</v>
      </c>
    </row>
    <row r="12" spans="1:6" x14ac:dyDescent="0.2">
      <c r="A12">
        <v>11</v>
      </c>
      <c r="B12" t="s">
        <v>33</v>
      </c>
      <c r="C12" t="s">
        <v>34</v>
      </c>
      <c r="D12" t="s">
        <v>49</v>
      </c>
      <c r="E12">
        <v>1</v>
      </c>
      <c r="F12" t="s">
        <v>36</v>
      </c>
    </row>
    <row r="13" spans="1:6" x14ac:dyDescent="0.2">
      <c r="A13">
        <v>12</v>
      </c>
      <c r="B13" t="s">
        <v>33</v>
      </c>
      <c r="C13" t="s">
        <v>39</v>
      </c>
      <c r="D13" t="s">
        <v>50</v>
      </c>
      <c r="E13">
        <v>1</v>
      </c>
      <c r="F13" t="s">
        <v>36</v>
      </c>
    </row>
    <row r="14" spans="1:6" x14ac:dyDescent="0.2">
      <c r="A14">
        <v>13</v>
      </c>
      <c r="B14" t="s">
        <v>33</v>
      </c>
      <c r="C14" t="s">
        <v>34</v>
      </c>
      <c r="D14" t="s">
        <v>51</v>
      </c>
      <c r="E14">
        <v>1</v>
      </c>
      <c r="F14" t="s">
        <v>36</v>
      </c>
    </row>
    <row r="15" spans="1:6" x14ac:dyDescent="0.2">
      <c r="A15">
        <v>14</v>
      </c>
      <c r="B15" t="s">
        <v>52</v>
      </c>
      <c r="C15" t="s">
        <v>53</v>
      </c>
      <c r="D15" t="s">
        <v>54</v>
      </c>
      <c r="E15" t="s">
        <v>55</v>
      </c>
      <c r="F15" t="s">
        <v>36</v>
      </c>
    </row>
    <row r="16" spans="1:6" x14ac:dyDescent="0.2">
      <c r="A16">
        <v>15</v>
      </c>
      <c r="B16" t="s">
        <v>56</v>
      </c>
      <c r="C16" t="s">
        <v>57</v>
      </c>
      <c r="D16" t="s">
        <v>58</v>
      </c>
      <c r="E16" t="s">
        <v>55</v>
      </c>
      <c r="F16" t="s">
        <v>36</v>
      </c>
    </row>
    <row r="17" spans="1:6" x14ac:dyDescent="0.2">
      <c r="A17">
        <v>16</v>
      </c>
      <c r="B17" t="s">
        <v>56</v>
      </c>
      <c r="C17" t="s">
        <v>59</v>
      </c>
      <c r="D17" t="s">
        <v>60</v>
      </c>
      <c r="E17" t="s">
        <v>55</v>
      </c>
      <c r="F17" t="s">
        <v>36</v>
      </c>
    </row>
    <row r="18" spans="1:6" x14ac:dyDescent="0.2">
      <c r="A18">
        <v>17</v>
      </c>
      <c r="B18" t="s">
        <v>61</v>
      </c>
      <c r="C18" t="s">
        <v>62</v>
      </c>
      <c r="D18" t="s">
        <v>63</v>
      </c>
      <c r="E18">
        <v>3</v>
      </c>
      <c r="F18" t="s">
        <v>64</v>
      </c>
    </row>
    <row r="19" spans="1:6" x14ac:dyDescent="0.2">
      <c r="A19">
        <v>18</v>
      </c>
      <c r="B19" t="s">
        <v>61</v>
      </c>
      <c r="C19" t="s">
        <v>62</v>
      </c>
      <c r="D19" t="s">
        <v>65</v>
      </c>
      <c r="E19">
        <v>2</v>
      </c>
      <c r="F19" t="s">
        <v>66</v>
      </c>
    </row>
    <row r="20" spans="1:6" x14ac:dyDescent="0.2">
      <c r="A20">
        <v>19</v>
      </c>
      <c r="B20" t="s">
        <v>61</v>
      </c>
      <c r="C20" t="s">
        <v>34</v>
      </c>
      <c r="D20" t="s">
        <v>49</v>
      </c>
      <c r="E20">
        <v>4</v>
      </c>
      <c r="F20" t="s">
        <v>67</v>
      </c>
    </row>
    <row r="21" spans="1:6" x14ac:dyDescent="0.2">
      <c r="A21">
        <v>20</v>
      </c>
      <c r="B21" t="s">
        <v>68</v>
      </c>
      <c r="C21" t="s">
        <v>39</v>
      </c>
      <c r="D21" t="s">
        <v>43</v>
      </c>
      <c r="E21">
        <v>10</v>
      </c>
      <c r="F21" t="s">
        <v>69</v>
      </c>
    </row>
    <row r="23" spans="1:6" x14ac:dyDescent="0.2">
      <c r="A23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26" customWidth="1"/>
    <col min="3" max="3" width="22" customWidth="1"/>
    <col min="4" max="4" width="40" customWidth="1"/>
    <col min="5" max="5" width="10" customWidth="1"/>
    <col min="6" max="6" width="26" customWidth="1"/>
  </cols>
  <sheetData>
    <row r="1" spans="1:6" ht="16" customHeight="1" x14ac:dyDescent="0.2">
      <c r="A1" s="1" t="s">
        <v>71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">
      <c r="A2" t="s">
        <v>72</v>
      </c>
      <c r="B2" t="s">
        <v>33</v>
      </c>
      <c r="C2" t="s">
        <v>34</v>
      </c>
      <c r="D2" t="s">
        <v>35</v>
      </c>
      <c r="E2">
        <v>1</v>
      </c>
      <c r="F2" t="s">
        <v>36</v>
      </c>
    </row>
    <row r="3" spans="1:6" x14ac:dyDescent="0.2">
      <c r="A3" t="s">
        <v>73</v>
      </c>
      <c r="B3" t="s">
        <v>33</v>
      </c>
      <c r="C3" t="s">
        <v>39</v>
      </c>
      <c r="D3" t="s">
        <v>46</v>
      </c>
      <c r="E3">
        <v>2</v>
      </c>
      <c r="F3" t="s">
        <v>36</v>
      </c>
    </row>
    <row r="4" spans="1:6" x14ac:dyDescent="0.2">
      <c r="A4" t="s">
        <v>74</v>
      </c>
      <c r="B4" t="s">
        <v>75</v>
      </c>
      <c r="C4" t="s">
        <v>76</v>
      </c>
      <c r="D4" t="s">
        <v>77</v>
      </c>
      <c r="E4" t="s">
        <v>55</v>
      </c>
      <c r="F4" t="s">
        <v>36</v>
      </c>
    </row>
    <row r="5" spans="1:6" x14ac:dyDescent="0.2">
      <c r="A5" t="s">
        <v>78</v>
      </c>
      <c r="B5" t="s">
        <v>68</v>
      </c>
      <c r="C5" t="s">
        <v>39</v>
      </c>
      <c r="D5" t="s">
        <v>50</v>
      </c>
      <c r="E5">
        <v>10</v>
      </c>
      <c r="F5" t="s">
        <v>36</v>
      </c>
    </row>
    <row r="6" spans="1:6" x14ac:dyDescent="0.2">
      <c r="A6" t="s">
        <v>79</v>
      </c>
      <c r="B6" t="s">
        <v>61</v>
      </c>
      <c r="C6" t="s">
        <v>62</v>
      </c>
      <c r="D6" t="s">
        <v>65</v>
      </c>
      <c r="E6">
        <v>5</v>
      </c>
      <c r="F6" t="s">
        <v>80</v>
      </c>
    </row>
    <row r="8" spans="1:6" x14ac:dyDescent="0.2">
      <c r="A8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pane ySplit="1" topLeftCell="A2" activePane="bottomLeft" state="frozen"/>
      <selection pane="bottomLeft" activeCell="F25" sqref="F25"/>
    </sheetView>
  </sheetViews>
  <sheetFormatPr baseColWidth="10" defaultColWidth="8.83203125" defaultRowHeight="15" x14ac:dyDescent="0.2"/>
  <cols>
    <col min="1" max="1" width="12" customWidth="1"/>
    <col min="2" max="3" width="20" customWidth="1"/>
    <col min="4" max="4" width="10" customWidth="1"/>
    <col min="5" max="5" width="26" customWidth="1"/>
    <col min="6" max="6" width="55" bestFit="1" customWidth="1"/>
    <col min="7" max="7" width="22" customWidth="1"/>
  </cols>
  <sheetData>
    <row r="1" spans="1:7" ht="32" customHeight="1" x14ac:dyDescent="0.2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</row>
    <row r="2" spans="1:7" x14ac:dyDescent="0.2">
      <c r="A2">
        <v>1</v>
      </c>
      <c r="B2" s="2">
        <v>0.90568287037037032</v>
      </c>
      <c r="C2" s="2">
        <v>0.90604166666666663</v>
      </c>
      <c r="D2">
        <f t="shared" ref="D2:D21" si="0">IF(AND(B2&lt;&gt;"",C2&lt;&gt;""),(C2-B2)*86400,"")</f>
        <v>31.000000000001648</v>
      </c>
      <c r="E2" t="s">
        <v>89</v>
      </c>
    </row>
    <row r="3" spans="1:7" x14ac:dyDescent="0.2">
      <c r="A3">
        <v>2</v>
      </c>
      <c r="B3" s="2">
        <v>0.90621527777777777</v>
      </c>
      <c r="C3" s="2">
        <v>0.90662037037037035</v>
      </c>
      <c r="D3">
        <f t="shared" si="0"/>
        <v>34.999999999999076</v>
      </c>
      <c r="E3" t="s">
        <v>89</v>
      </c>
    </row>
    <row r="4" spans="1:7" x14ac:dyDescent="0.2">
      <c r="A4">
        <v>3</v>
      </c>
      <c r="B4" s="2">
        <v>0.90670138888888885</v>
      </c>
      <c r="C4" s="2">
        <v>0.9070138888888889</v>
      </c>
      <c r="D4">
        <f t="shared" si="0"/>
        <v>27.000000000004221</v>
      </c>
      <c r="E4" t="s">
        <v>89</v>
      </c>
    </row>
    <row r="5" spans="1:7" x14ac:dyDescent="0.2">
      <c r="A5">
        <v>4</v>
      </c>
      <c r="B5" s="2">
        <v>0.90711805555555558</v>
      </c>
      <c r="C5" s="2">
        <v>0.90745370370370371</v>
      </c>
      <c r="D5">
        <f t="shared" si="0"/>
        <v>28.999999999998138</v>
      </c>
      <c r="E5" t="s">
        <v>89</v>
      </c>
    </row>
    <row r="6" spans="1:7" x14ac:dyDescent="0.2">
      <c r="A6">
        <v>5</v>
      </c>
      <c r="B6" s="2">
        <v>0.9075347222222222</v>
      </c>
      <c r="C6" s="2">
        <v>0.90795138888888893</v>
      </c>
      <c r="D6">
        <f t="shared" si="0"/>
        <v>36.000000000005627</v>
      </c>
      <c r="E6" t="s">
        <v>90</v>
      </c>
      <c r="F6" t="s">
        <v>91</v>
      </c>
    </row>
    <row r="7" spans="1:7" x14ac:dyDescent="0.2">
      <c r="A7">
        <v>6</v>
      </c>
      <c r="B7" s="2">
        <v>0.90814814814814815</v>
      </c>
      <c r="C7" s="2">
        <v>0.90856481481481477</v>
      </c>
      <c r="D7">
        <f t="shared" si="0"/>
        <v>35.999999999996035</v>
      </c>
      <c r="E7" t="s">
        <v>89</v>
      </c>
    </row>
    <row r="8" spans="1:7" x14ac:dyDescent="0.2">
      <c r="A8">
        <v>7</v>
      </c>
      <c r="B8" s="2">
        <v>0.90864583333333337</v>
      </c>
      <c r="C8" s="2">
        <v>0.90901620370370373</v>
      </c>
      <c r="D8">
        <f t="shared" si="0"/>
        <v>31.999999999998607</v>
      </c>
      <c r="E8" t="s">
        <v>89</v>
      </c>
    </row>
    <row r="9" spans="1:7" x14ac:dyDescent="0.2">
      <c r="A9">
        <v>8</v>
      </c>
      <c r="B9" s="2">
        <v>0.90909722222222222</v>
      </c>
      <c r="C9" s="2">
        <v>0.90939814814814812</v>
      </c>
      <c r="D9">
        <f t="shared" si="0"/>
        <v>25.999999999997669</v>
      </c>
      <c r="E9" t="s">
        <v>89</v>
      </c>
    </row>
    <row r="10" spans="1:7" x14ac:dyDescent="0.2">
      <c r="A10">
        <v>9</v>
      </c>
      <c r="B10" s="2">
        <v>0.90945601851851854</v>
      </c>
      <c r="C10" s="2">
        <v>0.9099652777777778</v>
      </c>
      <c r="D10">
        <f t="shared" si="0"/>
        <v>44.000000000000483</v>
      </c>
      <c r="E10" t="s">
        <v>90</v>
      </c>
      <c r="F10" t="s">
        <v>92</v>
      </c>
    </row>
    <row r="11" spans="1:7" x14ac:dyDescent="0.2">
      <c r="A11">
        <v>10</v>
      </c>
      <c r="B11" s="2">
        <v>0.91047453703703707</v>
      </c>
      <c r="C11" s="2">
        <v>0.91078703703703701</v>
      </c>
      <c r="D11">
        <f t="shared" si="0"/>
        <v>26.999999999994628</v>
      </c>
      <c r="E11" t="s">
        <v>89</v>
      </c>
    </row>
    <row r="12" spans="1:7" x14ac:dyDescent="0.2">
      <c r="A12">
        <v>11</v>
      </c>
      <c r="B12" s="2">
        <v>0.91087962962962965</v>
      </c>
      <c r="C12" s="2">
        <v>0.91123842592592597</v>
      </c>
      <c r="D12">
        <f t="shared" si="0"/>
        <v>31.000000000001648</v>
      </c>
      <c r="E12" t="s">
        <v>89</v>
      </c>
    </row>
    <row r="13" spans="1:7" x14ac:dyDescent="0.2">
      <c r="A13">
        <v>12</v>
      </c>
      <c r="B13" s="2">
        <v>0.91136574074074073</v>
      </c>
      <c r="C13" s="2">
        <v>0.91173611111111108</v>
      </c>
      <c r="D13">
        <f t="shared" si="0"/>
        <v>31.999999999998607</v>
      </c>
      <c r="E13" t="s">
        <v>89</v>
      </c>
    </row>
    <row r="14" spans="1:7" x14ac:dyDescent="0.2">
      <c r="A14">
        <v>13</v>
      </c>
      <c r="B14" s="2">
        <v>0.91180555555555554</v>
      </c>
      <c r="C14" s="2">
        <v>0.9120949074074074</v>
      </c>
      <c r="D14">
        <f t="shared" si="0"/>
        <v>25.000000000000711</v>
      </c>
      <c r="E14" t="s">
        <v>89</v>
      </c>
    </row>
    <row r="15" spans="1:7" x14ac:dyDescent="0.2">
      <c r="A15">
        <v>14</v>
      </c>
      <c r="B15" s="2">
        <v>0.91216435185185185</v>
      </c>
      <c r="C15" s="2">
        <v>0.91335648148148152</v>
      </c>
      <c r="D15">
        <f t="shared" si="0"/>
        <v>103.00000000000331</v>
      </c>
      <c r="E15" t="s">
        <v>89</v>
      </c>
    </row>
    <row r="16" spans="1:7" x14ac:dyDescent="0.2">
      <c r="A16">
        <v>15</v>
      </c>
      <c r="B16" s="2">
        <v>0.91355324074074074</v>
      </c>
      <c r="C16" s="2">
        <v>0.91431712962962963</v>
      </c>
      <c r="D16">
        <f t="shared" si="0"/>
        <v>66.000000000000725</v>
      </c>
      <c r="E16" t="s">
        <v>89</v>
      </c>
    </row>
    <row r="17" spans="1:5" x14ac:dyDescent="0.2">
      <c r="A17">
        <v>16</v>
      </c>
      <c r="B17" s="2">
        <v>0.91443287037037035</v>
      </c>
      <c r="C17" s="2">
        <v>0.91526620370370371</v>
      </c>
      <c r="D17">
        <f t="shared" si="0"/>
        <v>72.000000000001663</v>
      </c>
      <c r="E17" t="s">
        <v>89</v>
      </c>
    </row>
    <row r="18" spans="1:5" x14ac:dyDescent="0.2">
      <c r="A18">
        <v>17</v>
      </c>
      <c r="B18" s="2">
        <v>0.91537037037037039</v>
      </c>
      <c r="C18" s="2">
        <v>0.91587962962962965</v>
      </c>
      <c r="D18">
        <f t="shared" si="0"/>
        <v>44.000000000000483</v>
      </c>
      <c r="E18" t="s">
        <v>89</v>
      </c>
    </row>
    <row r="19" spans="1:5" x14ac:dyDescent="0.2">
      <c r="A19">
        <v>18</v>
      </c>
      <c r="B19" s="2">
        <v>0.91597222222222219</v>
      </c>
      <c r="C19" s="2">
        <v>0.91629629629629628</v>
      </c>
      <c r="D19">
        <f t="shared" si="0"/>
        <v>28.00000000000118</v>
      </c>
      <c r="E19" t="s">
        <v>89</v>
      </c>
    </row>
    <row r="20" spans="1:5" x14ac:dyDescent="0.2">
      <c r="A20">
        <v>19</v>
      </c>
      <c r="B20" s="2">
        <v>0.91634259259259254</v>
      </c>
      <c r="C20" s="2">
        <v>0.91667824074074078</v>
      </c>
      <c r="D20">
        <f t="shared" si="0"/>
        <v>29.000000000007731</v>
      </c>
      <c r="E20" t="s">
        <v>89</v>
      </c>
    </row>
    <row r="21" spans="1:5" x14ac:dyDescent="0.2">
      <c r="A21">
        <v>20</v>
      </c>
      <c r="B21" s="2">
        <v>0.91685185185185181</v>
      </c>
      <c r="C21" s="2">
        <v>0.91723379629629631</v>
      </c>
      <c r="D21">
        <f t="shared" si="0"/>
        <v>33.000000000005159</v>
      </c>
      <c r="E21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tabSelected="1" workbookViewId="0">
      <pane ySplit="1" topLeftCell="A2" activePane="bottomLeft" state="frozen"/>
      <selection pane="bottomLeft" activeCell="E22" sqref="E22"/>
    </sheetView>
  </sheetViews>
  <sheetFormatPr baseColWidth="10" defaultColWidth="8.83203125" defaultRowHeight="15" x14ac:dyDescent="0.2"/>
  <cols>
    <col min="1" max="1" width="12" customWidth="1"/>
    <col min="2" max="3" width="20" customWidth="1"/>
    <col min="4" max="4" width="10" customWidth="1"/>
    <col min="5" max="5" width="26" customWidth="1"/>
    <col min="6" max="6" width="40" customWidth="1"/>
    <col min="7" max="8" width="22" customWidth="1"/>
  </cols>
  <sheetData>
    <row r="1" spans="1:8" ht="16" customHeight="1" x14ac:dyDescent="0.2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93</v>
      </c>
      <c r="H1" s="1" t="s">
        <v>94</v>
      </c>
    </row>
    <row r="2" spans="1:8" x14ac:dyDescent="0.2">
      <c r="A2">
        <v>1</v>
      </c>
      <c r="B2" s="2">
        <v>0.71809027777777779</v>
      </c>
      <c r="C2" s="2">
        <v>0.71849537037037037</v>
      </c>
      <c r="D2">
        <f t="shared" ref="D2:D21" si="0">IF(AND(B2&lt;&gt;"",C2&lt;&gt;""),(C2-B2)*86400,"")</f>
        <v>34.999999999999076</v>
      </c>
      <c r="E2" t="s">
        <v>89</v>
      </c>
    </row>
    <row r="3" spans="1:8" x14ac:dyDescent="0.2">
      <c r="A3">
        <v>2</v>
      </c>
      <c r="B3" s="2">
        <v>0.71856481481481482</v>
      </c>
      <c r="C3" s="2">
        <v>0.71886574074074072</v>
      </c>
      <c r="D3">
        <f t="shared" si="0"/>
        <v>25.999999999997669</v>
      </c>
      <c r="E3" t="s">
        <v>89</v>
      </c>
    </row>
    <row r="4" spans="1:8" x14ac:dyDescent="0.2">
      <c r="A4">
        <v>3</v>
      </c>
      <c r="B4" s="2">
        <v>0.71891203703703699</v>
      </c>
      <c r="C4" s="2">
        <v>0.71918981481481481</v>
      </c>
      <c r="D4">
        <f t="shared" si="0"/>
        <v>24.000000000003752</v>
      </c>
      <c r="E4" t="s">
        <v>89</v>
      </c>
    </row>
    <row r="5" spans="1:8" x14ac:dyDescent="0.2">
      <c r="A5">
        <v>4</v>
      </c>
      <c r="B5" s="2">
        <v>0.71924768518518523</v>
      </c>
      <c r="C5" s="2">
        <v>0.71959490740740739</v>
      </c>
      <c r="D5">
        <f t="shared" si="0"/>
        <v>29.999999999995097</v>
      </c>
      <c r="E5" t="s">
        <v>89</v>
      </c>
    </row>
    <row r="6" spans="1:8" x14ac:dyDescent="0.2">
      <c r="A6">
        <v>5</v>
      </c>
      <c r="B6" s="2">
        <v>0.71964120370370366</v>
      </c>
      <c r="C6" s="2">
        <v>0.72001157407407412</v>
      </c>
      <c r="D6">
        <f t="shared" si="0"/>
        <v>32.0000000000082</v>
      </c>
      <c r="E6" t="s">
        <v>89</v>
      </c>
    </row>
    <row r="7" spans="1:8" x14ac:dyDescent="0.2">
      <c r="A7">
        <v>6</v>
      </c>
      <c r="B7" s="2">
        <v>0.72006944444444443</v>
      </c>
      <c r="C7" s="2">
        <v>0.72035879629629629</v>
      </c>
      <c r="D7">
        <f t="shared" si="0"/>
        <v>25.000000000000711</v>
      </c>
      <c r="E7" t="s">
        <v>89</v>
      </c>
    </row>
    <row r="8" spans="1:8" x14ac:dyDescent="0.2">
      <c r="A8">
        <v>7</v>
      </c>
      <c r="B8" s="2">
        <v>0.72042824074074074</v>
      </c>
      <c r="C8" s="2">
        <v>0.72070601851851857</v>
      </c>
      <c r="D8">
        <f t="shared" si="0"/>
        <v>24.000000000003752</v>
      </c>
      <c r="E8" t="s">
        <v>89</v>
      </c>
    </row>
    <row r="9" spans="1:8" x14ac:dyDescent="0.2">
      <c r="A9">
        <v>8</v>
      </c>
      <c r="B9" s="2">
        <v>0.72075231481481483</v>
      </c>
      <c r="C9" s="2">
        <v>0.72104166666666669</v>
      </c>
      <c r="D9">
        <f t="shared" si="0"/>
        <v>25.000000000000711</v>
      </c>
      <c r="E9" t="s">
        <v>89</v>
      </c>
    </row>
    <row r="10" spans="1:8" x14ac:dyDescent="0.2">
      <c r="A10">
        <v>9</v>
      </c>
      <c r="B10" s="2">
        <v>0.72112268518518519</v>
      </c>
      <c r="C10" s="2">
        <v>0.72141203703703705</v>
      </c>
      <c r="D10">
        <f t="shared" si="0"/>
        <v>25.000000000000711</v>
      </c>
      <c r="E10" t="s">
        <v>89</v>
      </c>
    </row>
    <row r="11" spans="1:8" x14ac:dyDescent="0.2">
      <c r="A11">
        <v>10</v>
      </c>
      <c r="B11" s="2">
        <v>0.7214814814814815</v>
      </c>
      <c r="C11" s="2">
        <v>0.72179398148148144</v>
      </c>
      <c r="D11">
        <f t="shared" si="0"/>
        <v>26.999999999994628</v>
      </c>
      <c r="E11" t="s">
        <v>89</v>
      </c>
    </row>
    <row r="12" spans="1:8" x14ac:dyDescent="0.2">
      <c r="A12">
        <v>11</v>
      </c>
      <c r="B12" s="2">
        <v>0.72189814814814812</v>
      </c>
      <c r="C12" s="2">
        <v>0.72221064814814817</v>
      </c>
      <c r="D12">
        <f t="shared" si="0"/>
        <v>27.000000000004221</v>
      </c>
      <c r="E12" t="s">
        <v>89</v>
      </c>
    </row>
    <row r="13" spans="1:8" x14ac:dyDescent="0.2">
      <c r="A13">
        <v>12</v>
      </c>
      <c r="B13" s="2">
        <v>0.72229166666666667</v>
      </c>
      <c r="C13" s="2">
        <v>0.7225462962962963</v>
      </c>
      <c r="D13">
        <f t="shared" si="0"/>
        <v>22.000000000000242</v>
      </c>
      <c r="E13" t="s">
        <v>89</v>
      </c>
    </row>
    <row r="14" spans="1:8" x14ac:dyDescent="0.2">
      <c r="A14">
        <v>13</v>
      </c>
      <c r="B14" s="2">
        <v>0.72261574074074075</v>
      </c>
      <c r="C14" s="2">
        <v>0.72289351851851846</v>
      </c>
      <c r="D14">
        <f t="shared" si="0"/>
        <v>23.999999999994159</v>
      </c>
      <c r="E14" t="s">
        <v>89</v>
      </c>
    </row>
    <row r="15" spans="1:8" x14ac:dyDescent="0.2">
      <c r="A15">
        <v>14</v>
      </c>
      <c r="B15" s="2">
        <v>0.72296296296296292</v>
      </c>
      <c r="C15" s="2">
        <v>0.72365740740740736</v>
      </c>
      <c r="D15">
        <f t="shared" si="0"/>
        <v>59.999999999999787</v>
      </c>
      <c r="E15" t="s">
        <v>89</v>
      </c>
    </row>
    <row r="16" spans="1:8" x14ac:dyDescent="0.2">
      <c r="A16">
        <v>15</v>
      </c>
      <c r="B16" s="2">
        <v>0.72474537037037035</v>
      </c>
      <c r="C16" s="2">
        <v>0.72526620370370365</v>
      </c>
      <c r="D16">
        <f t="shared" si="0"/>
        <v>44.999999999997442</v>
      </c>
    </row>
    <row r="17" spans="1:5" x14ac:dyDescent="0.2">
      <c r="A17">
        <v>16</v>
      </c>
      <c r="B17" s="2">
        <v>0.72375</v>
      </c>
      <c r="C17" s="2">
        <v>0.7245138888888889</v>
      </c>
      <c r="D17">
        <f t="shared" si="0"/>
        <v>66.000000000000725</v>
      </c>
    </row>
    <row r="18" spans="1:5" x14ac:dyDescent="0.2">
      <c r="A18">
        <v>17</v>
      </c>
      <c r="B18" s="2">
        <v>0.72538194444444448</v>
      </c>
      <c r="C18" s="2">
        <v>0.72564814814814815</v>
      </c>
      <c r="D18">
        <f t="shared" si="0"/>
        <v>22.9999999999972</v>
      </c>
      <c r="E18" t="s">
        <v>89</v>
      </c>
    </row>
    <row r="19" spans="1:5" x14ac:dyDescent="0.2">
      <c r="A19">
        <v>18</v>
      </c>
      <c r="B19" s="2">
        <v>0.72583333333333333</v>
      </c>
      <c r="C19" s="2">
        <v>0.72621527777777772</v>
      </c>
      <c r="D19">
        <f t="shared" si="0"/>
        <v>32.999999999995566</v>
      </c>
      <c r="E19" t="s">
        <v>89</v>
      </c>
    </row>
    <row r="20" spans="1:5" x14ac:dyDescent="0.2">
      <c r="A20">
        <v>19</v>
      </c>
      <c r="B20" s="2">
        <v>0.72628472222222218</v>
      </c>
      <c r="C20" s="2">
        <v>0.72657407407407404</v>
      </c>
      <c r="D20">
        <f t="shared" si="0"/>
        <v>25.000000000000711</v>
      </c>
      <c r="E20" t="s">
        <v>89</v>
      </c>
    </row>
    <row r="21" spans="1:5" x14ac:dyDescent="0.2">
      <c r="A21">
        <v>20</v>
      </c>
      <c r="B21" s="2">
        <v>0.72664351851851849</v>
      </c>
      <c r="C21" s="2">
        <v>0.72694444444444439</v>
      </c>
      <c r="D21">
        <f t="shared" si="0"/>
        <v>25.999999999997669</v>
      </c>
      <c r="E21" t="s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2" customWidth="1"/>
    <col min="3" max="3" width="14" customWidth="1"/>
    <col min="4" max="4" width="30" customWidth="1"/>
    <col min="5" max="5" width="20" customWidth="1"/>
    <col min="6" max="6" width="30" customWidth="1"/>
    <col min="7" max="7" width="16" customWidth="1"/>
  </cols>
  <sheetData>
    <row r="1" spans="1:7" ht="16" customHeight="1" x14ac:dyDescent="0.2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</row>
    <row r="2" spans="1:7" x14ac:dyDescent="0.2">
      <c r="A2" t="s">
        <v>35</v>
      </c>
      <c r="B2" t="s">
        <v>102</v>
      </c>
      <c r="C2">
        <v>25</v>
      </c>
      <c r="D2">
        <v>2</v>
      </c>
      <c r="E2">
        <v>23</v>
      </c>
      <c r="G2" t="str">
        <f t="shared" ref="G2:G18" si="0">IF(AND(E2&lt;&gt;"",F2&lt;&gt;""),IF(E2=F2,"Si","No"),"")</f>
        <v/>
      </c>
    </row>
    <row r="3" spans="1:7" x14ac:dyDescent="0.2">
      <c r="A3" t="s">
        <v>44</v>
      </c>
      <c r="B3" t="s">
        <v>102</v>
      </c>
      <c r="C3">
        <v>50</v>
      </c>
      <c r="D3">
        <v>1</v>
      </c>
      <c r="E3">
        <v>49</v>
      </c>
      <c r="G3" t="str">
        <f t="shared" si="0"/>
        <v/>
      </c>
    </row>
    <row r="4" spans="1:7" x14ac:dyDescent="0.2">
      <c r="A4" t="s">
        <v>48</v>
      </c>
      <c r="B4" t="s">
        <v>102</v>
      </c>
      <c r="C4">
        <v>12</v>
      </c>
      <c r="D4">
        <v>1</v>
      </c>
      <c r="E4">
        <v>11</v>
      </c>
      <c r="G4" t="str">
        <f t="shared" si="0"/>
        <v/>
      </c>
    </row>
    <row r="5" spans="1:7" x14ac:dyDescent="0.2">
      <c r="A5" t="s">
        <v>49</v>
      </c>
      <c r="B5" t="s">
        <v>102</v>
      </c>
      <c r="C5">
        <v>3</v>
      </c>
      <c r="D5">
        <v>1</v>
      </c>
      <c r="E5">
        <v>2</v>
      </c>
      <c r="G5" t="str">
        <f t="shared" si="0"/>
        <v/>
      </c>
    </row>
    <row r="6" spans="1:7" x14ac:dyDescent="0.2">
      <c r="A6" t="s">
        <v>51</v>
      </c>
      <c r="B6" t="s">
        <v>102</v>
      </c>
      <c r="C6">
        <v>21</v>
      </c>
      <c r="D6">
        <v>1</v>
      </c>
      <c r="E6">
        <v>20</v>
      </c>
      <c r="G6" t="str">
        <f t="shared" si="0"/>
        <v/>
      </c>
    </row>
    <row r="7" spans="1:7" x14ac:dyDescent="0.2">
      <c r="A7" t="s">
        <v>103</v>
      </c>
      <c r="B7" t="s">
        <v>102</v>
      </c>
      <c r="C7">
        <v>12</v>
      </c>
      <c r="D7">
        <v>1</v>
      </c>
      <c r="E7">
        <v>11</v>
      </c>
      <c r="G7" t="str">
        <f t="shared" si="0"/>
        <v/>
      </c>
    </row>
    <row r="8" spans="1:7" x14ac:dyDescent="0.2">
      <c r="A8" t="s">
        <v>38</v>
      </c>
      <c r="B8" t="s">
        <v>102</v>
      </c>
      <c r="C8">
        <v>30</v>
      </c>
      <c r="D8">
        <v>1</v>
      </c>
      <c r="E8">
        <v>29</v>
      </c>
      <c r="G8" t="str">
        <f t="shared" si="0"/>
        <v/>
      </c>
    </row>
    <row r="9" spans="1:7" x14ac:dyDescent="0.2">
      <c r="A9" t="s">
        <v>45</v>
      </c>
      <c r="B9" t="s">
        <v>102</v>
      </c>
      <c r="C9">
        <v>23</v>
      </c>
      <c r="D9">
        <v>1</v>
      </c>
      <c r="E9">
        <v>22</v>
      </c>
      <c r="G9" t="str">
        <f t="shared" si="0"/>
        <v/>
      </c>
    </row>
    <row r="10" spans="1:7" x14ac:dyDescent="0.2">
      <c r="A10" t="s">
        <v>40</v>
      </c>
      <c r="B10" t="s">
        <v>102</v>
      </c>
      <c r="C10">
        <v>22</v>
      </c>
      <c r="D10">
        <v>2</v>
      </c>
      <c r="E10">
        <v>20</v>
      </c>
      <c r="G10" t="str">
        <f t="shared" si="0"/>
        <v/>
      </c>
    </row>
    <row r="11" spans="1:7" x14ac:dyDescent="0.2">
      <c r="A11" t="s">
        <v>43</v>
      </c>
      <c r="B11" t="s">
        <v>102</v>
      </c>
      <c r="C11">
        <v>40</v>
      </c>
      <c r="D11">
        <v>12</v>
      </c>
      <c r="E11">
        <v>28</v>
      </c>
      <c r="G11" t="str">
        <f t="shared" si="0"/>
        <v/>
      </c>
    </row>
    <row r="12" spans="1:7" x14ac:dyDescent="0.2">
      <c r="A12" t="s">
        <v>46</v>
      </c>
      <c r="B12" t="s">
        <v>102</v>
      </c>
      <c r="C12">
        <v>45</v>
      </c>
      <c r="D12">
        <v>1</v>
      </c>
      <c r="E12">
        <v>44</v>
      </c>
      <c r="G12" t="str">
        <f t="shared" si="0"/>
        <v/>
      </c>
    </row>
    <row r="13" spans="1:7" x14ac:dyDescent="0.2">
      <c r="A13" t="s">
        <v>50</v>
      </c>
      <c r="B13" t="s">
        <v>102</v>
      </c>
      <c r="C13">
        <v>10</v>
      </c>
      <c r="D13">
        <v>2</v>
      </c>
      <c r="E13">
        <v>8</v>
      </c>
      <c r="G13" t="str">
        <f t="shared" si="0"/>
        <v/>
      </c>
    </row>
    <row r="14" spans="1:7" x14ac:dyDescent="0.2">
      <c r="A14" t="s">
        <v>42</v>
      </c>
      <c r="B14" t="s">
        <v>102</v>
      </c>
      <c r="C14">
        <v>15</v>
      </c>
      <c r="D14">
        <v>1</v>
      </c>
      <c r="E14">
        <v>14</v>
      </c>
      <c r="G14" t="str">
        <f t="shared" si="0"/>
        <v/>
      </c>
    </row>
    <row r="15" spans="1:7" x14ac:dyDescent="0.2">
      <c r="A15" t="s">
        <v>47</v>
      </c>
      <c r="B15" t="s">
        <v>102</v>
      </c>
      <c r="C15">
        <v>47</v>
      </c>
      <c r="D15">
        <v>2</v>
      </c>
      <c r="E15">
        <v>45</v>
      </c>
      <c r="G15" t="str">
        <f t="shared" si="0"/>
        <v/>
      </c>
    </row>
    <row r="16" spans="1:7" x14ac:dyDescent="0.2">
      <c r="A16" t="s">
        <v>63</v>
      </c>
      <c r="B16" t="s">
        <v>102</v>
      </c>
      <c r="C16">
        <v>2</v>
      </c>
      <c r="D16">
        <v>0</v>
      </c>
      <c r="E16">
        <v>2</v>
      </c>
      <c r="G16" t="str">
        <f t="shared" si="0"/>
        <v/>
      </c>
    </row>
    <row r="17" spans="1:7" x14ac:dyDescent="0.2">
      <c r="A17" t="s">
        <v>65</v>
      </c>
      <c r="B17" t="s">
        <v>102</v>
      </c>
      <c r="C17">
        <v>1</v>
      </c>
      <c r="D17">
        <v>0</v>
      </c>
      <c r="E17">
        <v>1</v>
      </c>
      <c r="G17" t="str">
        <f t="shared" si="0"/>
        <v/>
      </c>
    </row>
    <row r="18" spans="1:7" x14ac:dyDescent="0.2">
      <c r="A18" t="s">
        <v>104</v>
      </c>
      <c r="B18" t="s">
        <v>102</v>
      </c>
      <c r="C18">
        <v>28</v>
      </c>
      <c r="D18">
        <v>1</v>
      </c>
      <c r="E18">
        <v>27</v>
      </c>
      <c r="G18" t="str">
        <f t="shared" si="0"/>
        <v/>
      </c>
    </row>
    <row r="20" spans="1:7" x14ac:dyDescent="0.2">
      <c r="A20" t="s">
        <v>35</v>
      </c>
      <c r="B20" t="s">
        <v>105</v>
      </c>
      <c r="C20">
        <v>25</v>
      </c>
      <c r="D20">
        <v>2</v>
      </c>
      <c r="E20">
        <v>23</v>
      </c>
      <c r="G20" t="str">
        <f t="shared" ref="G20:G36" si="1">IF(AND(E20&lt;&gt;"",F20&lt;&gt;""),IF(E20=F20,"Si","No"),"")</f>
        <v/>
      </c>
    </row>
    <row r="21" spans="1:7" x14ac:dyDescent="0.2">
      <c r="A21" t="s">
        <v>44</v>
      </c>
      <c r="B21" t="s">
        <v>105</v>
      </c>
      <c r="C21">
        <v>50</v>
      </c>
      <c r="D21">
        <v>1</v>
      </c>
      <c r="E21">
        <v>49</v>
      </c>
      <c r="G21" t="str">
        <f t="shared" si="1"/>
        <v/>
      </c>
    </row>
    <row r="22" spans="1:7" x14ac:dyDescent="0.2">
      <c r="A22" t="s">
        <v>48</v>
      </c>
      <c r="B22" t="s">
        <v>105</v>
      </c>
      <c r="C22">
        <v>12</v>
      </c>
      <c r="D22">
        <v>1</v>
      </c>
      <c r="E22">
        <v>11</v>
      </c>
      <c r="G22" t="str">
        <f t="shared" si="1"/>
        <v/>
      </c>
    </row>
    <row r="23" spans="1:7" x14ac:dyDescent="0.2">
      <c r="A23" t="s">
        <v>49</v>
      </c>
      <c r="B23" t="s">
        <v>105</v>
      </c>
      <c r="C23">
        <v>3</v>
      </c>
      <c r="D23">
        <v>1</v>
      </c>
      <c r="E23">
        <v>2</v>
      </c>
      <c r="G23" t="str">
        <f t="shared" si="1"/>
        <v/>
      </c>
    </row>
    <row r="24" spans="1:7" x14ac:dyDescent="0.2">
      <c r="A24" t="s">
        <v>51</v>
      </c>
      <c r="B24" t="s">
        <v>105</v>
      </c>
      <c r="C24">
        <v>21</v>
      </c>
      <c r="D24">
        <v>1</v>
      </c>
      <c r="E24">
        <v>20</v>
      </c>
      <c r="G24" t="str">
        <f t="shared" si="1"/>
        <v/>
      </c>
    </row>
    <row r="25" spans="1:7" x14ac:dyDescent="0.2">
      <c r="A25" t="s">
        <v>103</v>
      </c>
      <c r="B25" t="s">
        <v>105</v>
      </c>
      <c r="C25">
        <v>12</v>
      </c>
      <c r="D25">
        <v>1</v>
      </c>
      <c r="E25">
        <v>11</v>
      </c>
      <c r="G25" t="str">
        <f t="shared" si="1"/>
        <v/>
      </c>
    </row>
    <row r="26" spans="1:7" x14ac:dyDescent="0.2">
      <c r="A26" t="s">
        <v>38</v>
      </c>
      <c r="B26" t="s">
        <v>105</v>
      </c>
      <c r="C26">
        <v>30</v>
      </c>
      <c r="D26">
        <v>1</v>
      </c>
      <c r="E26">
        <v>29</v>
      </c>
      <c r="G26" t="str">
        <f t="shared" si="1"/>
        <v/>
      </c>
    </row>
    <row r="27" spans="1:7" x14ac:dyDescent="0.2">
      <c r="A27" t="s">
        <v>45</v>
      </c>
      <c r="B27" t="s">
        <v>105</v>
      </c>
      <c r="C27">
        <v>23</v>
      </c>
      <c r="D27">
        <v>1</v>
      </c>
      <c r="E27">
        <v>22</v>
      </c>
      <c r="G27" t="str">
        <f t="shared" si="1"/>
        <v/>
      </c>
    </row>
    <row r="28" spans="1:7" x14ac:dyDescent="0.2">
      <c r="A28" t="s">
        <v>40</v>
      </c>
      <c r="B28" t="s">
        <v>105</v>
      </c>
      <c r="C28">
        <v>22</v>
      </c>
      <c r="D28">
        <v>2</v>
      </c>
      <c r="E28">
        <v>20</v>
      </c>
      <c r="G28" t="str">
        <f t="shared" si="1"/>
        <v/>
      </c>
    </row>
    <row r="29" spans="1:7" x14ac:dyDescent="0.2">
      <c r="A29" t="s">
        <v>43</v>
      </c>
      <c r="B29" t="s">
        <v>105</v>
      </c>
      <c r="C29">
        <v>40</v>
      </c>
      <c r="D29">
        <v>12</v>
      </c>
      <c r="E29">
        <v>28</v>
      </c>
      <c r="G29" t="str">
        <f t="shared" si="1"/>
        <v/>
      </c>
    </row>
    <row r="30" spans="1:7" x14ac:dyDescent="0.2">
      <c r="A30" t="s">
        <v>46</v>
      </c>
      <c r="B30" t="s">
        <v>105</v>
      </c>
      <c r="C30">
        <v>45</v>
      </c>
      <c r="D30">
        <v>1</v>
      </c>
      <c r="E30">
        <v>44</v>
      </c>
      <c r="G30" t="str">
        <f t="shared" si="1"/>
        <v/>
      </c>
    </row>
    <row r="31" spans="1:7" x14ac:dyDescent="0.2">
      <c r="A31" t="s">
        <v>50</v>
      </c>
      <c r="B31" t="s">
        <v>105</v>
      </c>
      <c r="C31">
        <v>10</v>
      </c>
      <c r="D31">
        <v>2</v>
      </c>
      <c r="E31">
        <v>8</v>
      </c>
      <c r="G31" t="str">
        <f t="shared" si="1"/>
        <v/>
      </c>
    </row>
    <row r="32" spans="1:7" x14ac:dyDescent="0.2">
      <c r="A32" t="s">
        <v>42</v>
      </c>
      <c r="B32" t="s">
        <v>105</v>
      </c>
      <c r="C32">
        <v>15</v>
      </c>
      <c r="D32">
        <v>1</v>
      </c>
      <c r="E32">
        <v>14</v>
      </c>
      <c r="G32" t="str">
        <f t="shared" si="1"/>
        <v/>
      </c>
    </row>
    <row r="33" spans="1:7" x14ac:dyDescent="0.2">
      <c r="A33" t="s">
        <v>47</v>
      </c>
      <c r="B33" t="s">
        <v>105</v>
      </c>
      <c r="C33">
        <v>47</v>
      </c>
      <c r="D33">
        <v>2</v>
      </c>
      <c r="E33">
        <v>45</v>
      </c>
      <c r="G33" t="str">
        <f t="shared" si="1"/>
        <v/>
      </c>
    </row>
    <row r="34" spans="1:7" x14ac:dyDescent="0.2">
      <c r="A34" t="s">
        <v>63</v>
      </c>
      <c r="B34" t="s">
        <v>105</v>
      </c>
      <c r="C34">
        <v>2</v>
      </c>
      <c r="D34">
        <v>0</v>
      </c>
      <c r="E34">
        <v>2</v>
      </c>
      <c r="G34" t="str">
        <f t="shared" si="1"/>
        <v/>
      </c>
    </row>
    <row r="35" spans="1:7" x14ac:dyDescent="0.2">
      <c r="A35" t="s">
        <v>65</v>
      </c>
      <c r="B35" t="s">
        <v>105</v>
      </c>
      <c r="C35">
        <v>1</v>
      </c>
      <c r="D35">
        <v>0</v>
      </c>
      <c r="E35">
        <v>1</v>
      </c>
      <c r="G35" t="str">
        <f t="shared" si="1"/>
        <v/>
      </c>
    </row>
    <row r="36" spans="1:7" x14ac:dyDescent="0.2">
      <c r="A36" t="s">
        <v>104</v>
      </c>
      <c r="B36" t="s">
        <v>105</v>
      </c>
      <c r="C36">
        <v>28</v>
      </c>
      <c r="D36">
        <v>1</v>
      </c>
      <c r="E36">
        <v>27</v>
      </c>
      <c r="G36" t="str">
        <f t="shared" si="1"/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workbookViewId="0">
      <pane ySplit="1" topLeftCell="A3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40" customWidth="1"/>
    <col min="2" max="2" width="60" customWidth="1"/>
  </cols>
  <sheetData>
    <row r="1" spans="1:2" ht="16" customHeight="1" x14ac:dyDescent="0.2">
      <c r="A1" s="1" t="s">
        <v>0</v>
      </c>
      <c r="B1" s="1" t="s">
        <v>1</v>
      </c>
    </row>
    <row r="2" spans="1:2" x14ac:dyDescent="0.2">
      <c r="A2" t="s">
        <v>2</v>
      </c>
      <c r="B2" s="3">
        <v>46275</v>
      </c>
    </row>
    <row r="3" spans="1:2" x14ac:dyDescent="0.2">
      <c r="A3" t="s">
        <v>3</v>
      </c>
      <c r="B3" s="2">
        <v>0.90568287037037032</v>
      </c>
    </row>
    <row r="4" spans="1:2" x14ac:dyDescent="0.2">
      <c r="A4" t="s">
        <v>4</v>
      </c>
      <c r="B4" s="2">
        <v>0.91723379629629631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 t="s">
        <v>12</v>
      </c>
    </row>
    <row r="11" spans="1:2" x14ac:dyDescent="0.2">
      <c r="A11" t="s">
        <v>13</v>
      </c>
      <c r="B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s">
        <v>22</v>
      </c>
    </row>
    <row r="16" spans="1:2" x14ac:dyDescent="0.2">
      <c r="A16" t="s">
        <v>23</v>
      </c>
    </row>
    <row r="17" spans="1:2" x14ac:dyDescent="0.2">
      <c r="A17" t="s">
        <v>24</v>
      </c>
    </row>
    <row r="18" spans="1:2" x14ac:dyDescent="0.2">
      <c r="A18" t="s">
        <v>25</v>
      </c>
      <c r="B18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Escenarios</vt:lpstr>
      <vt:lpstr>Warmup</vt:lpstr>
      <vt:lpstr>Pretest</vt:lpstr>
      <vt:lpstr>Postest</vt:lpstr>
      <vt:lpstr>Auditoria_Stock</vt:lpstr>
      <vt:lpstr>Metadatos_corrida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Ignacio Juarez</cp:lastModifiedBy>
  <dcterms:created xsi:type="dcterms:W3CDTF">2026-09-10T22:33:51Z</dcterms:created>
  <dcterms:modified xsi:type="dcterms:W3CDTF">2026-09-11T21:00:03Z</dcterms:modified>
</cp:coreProperties>
</file>